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kai\Zr.Admin.NET\ZR.WinFormsApp\res\"/>
    </mc:Choice>
  </mc:AlternateContent>
  <xr:revisionPtr revIDLastSave="0" documentId="13_ncr:1_{7FE90B1B-35A7-47BC-A31C-C132230DEDF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质控数据" sheetId="1" r:id="rId1"/>
    <sheet name="签收率T-1" sheetId="24" state="hidden" r:id="rId2"/>
    <sheet name="出仓率T-1" sheetId="27" r:id="rId3"/>
    <sheet name="进港投诉T-2" sheetId="23" state="hidden" r:id="rId4"/>
    <sheet name="送货上门签收T-2" sheetId="30" r:id="rId5"/>
    <sheet name="客户声音T-2" sheetId="16" r:id="rId6"/>
  </sheets>
  <definedNames>
    <definedName name="_xlnm._FilterDatabase" localSheetId="0" hidden="1">质控数据!$A$2:$S$3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M6" i="1"/>
  <c r="M5" i="1"/>
  <c r="M4" i="1"/>
  <c r="M3" i="1"/>
</calcChain>
</file>

<file path=xl/sharedStrings.xml><?xml version="1.0" encoding="utf-8"?>
<sst xmlns="http://schemas.openxmlformats.org/spreadsheetml/2006/main" count="684" uniqueCount="384">
  <si>
    <r>
      <rPr>
        <b/>
        <sz val="12"/>
        <color rgb="FF000000"/>
        <rFont val="宋体"/>
        <charset val="134"/>
        <scheme val="minor"/>
      </rPr>
      <t>江苏太仓市</t>
    </r>
    <r>
      <rPr>
        <b/>
        <sz val="12"/>
        <color rgb="FFFF0000"/>
        <rFont val="宋体"/>
        <charset val="134"/>
        <scheme val="minor"/>
      </rPr>
      <t>KPI考核</t>
    </r>
    <r>
      <rPr>
        <b/>
        <sz val="12"/>
        <color rgb="FF000000"/>
        <rFont val="宋体"/>
        <charset val="134"/>
        <scheme val="minor"/>
      </rPr>
      <t>说明：
1、</t>
    </r>
    <r>
      <rPr>
        <b/>
        <sz val="12"/>
        <rFont val="宋体"/>
        <charset val="134"/>
        <scheme val="minor"/>
      </rPr>
      <t>健康分占比45%，得分上线45分：90-100分按星级得分*0.45，80-90分按星级得分*0.35，70-80分按星级得分*0.25，60-70分按星级得分*0.2，50-60分按星级得分*0.1，低于50分不得分。
2、进港投诉占比25%，得分上线25分：万10以内开始得分，每低于万0.1加0.5分，万5以内得25分。
3、虚假签收（复合前）占比10%，得分上线10分：按照复核前达成，万5以上不得分，万5以内每降低万0.1得0.5分，万3以内得满分。
4、工单虚假完结占比10%，得分上线10分：按照健康分达成，无扣分此项得满分，扣一分 (含一分)以内此项得5分，扣一分以上此项不得分。
5、拦截及时转出占比10%，得分上线10分：当日拦截发起量在T+1日内及时退回，且有中心到件记录。95%以上开始得分，每高于0.1%加0.2分，100%得10分。</t>
    </r>
  </si>
  <si>
    <t>KPI统计日期</t>
  </si>
  <si>
    <t>网点名称</t>
  </si>
  <si>
    <t>健康分</t>
  </si>
  <si>
    <t>得分</t>
  </si>
  <si>
    <t>进港投诉率</t>
  </si>
  <si>
    <t>虚假签收
（复合前）</t>
  </si>
  <si>
    <t>工单虚假完结</t>
  </si>
  <si>
    <t>拦截及时转出</t>
  </si>
  <si>
    <t>KPI合计得分</t>
  </si>
  <si>
    <t>江苏太仓市城区公司</t>
  </si>
  <si>
    <t>江苏太仓市科教新城公司</t>
  </si>
  <si>
    <t>江苏太仓市浏河公司</t>
  </si>
  <si>
    <t>江苏太仓市沙溪公司</t>
  </si>
  <si>
    <t>健康分产出日期
T-3</t>
  </si>
  <si>
    <t>星级</t>
  </si>
  <si>
    <t>业务量达成20%
（20分）</t>
  </si>
  <si>
    <t>进港投诉20%
（20分）</t>
  </si>
  <si>
    <t>遗失率10%
（10分）</t>
  </si>
  <si>
    <t>破损率10%
（10分）</t>
  </si>
  <si>
    <t>虚签率20%
（20分）</t>
  </si>
  <si>
    <t>工单及时解决率5%（5分）</t>
  </si>
  <si>
    <t>交货滞留率
（扣减项）</t>
  </si>
  <si>
    <t>签收达标率10%
（10分）</t>
  </si>
  <si>
    <t>标签履约率5%
（5分）</t>
  </si>
  <si>
    <t>工单虚假完结
（扣减项）</t>
  </si>
  <si>
    <t>监控覆盖处罚
（扣减项）</t>
  </si>
  <si>
    <t>行政处罚
（扣减项）</t>
  </si>
  <si>
    <t>质量看板统计日期：2026.1.21</t>
  </si>
  <si>
    <r>
      <rPr>
        <b/>
        <sz val="11"/>
        <color rgb="FF000000"/>
        <rFont val="宋体"/>
        <charset val="134"/>
        <scheme val="minor"/>
      </rPr>
      <t>网点出仓率</t>
    </r>
    <r>
      <rPr>
        <b/>
        <sz val="10"/>
        <color rgb="FF000000"/>
        <rFont val="宋体"/>
        <charset val="134"/>
        <scheme val="minor"/>
      </rPr>
      <t>（88%）</t>
    </r>
    <r>
      <rPr>
        <b/>
        <sz val="11"/>
        <color rgb="FF000000"/>
        <rFont val="宋体"/>
        <charset val="134"/>
        <scheme val="minor"/>
      </rPr>
      <t xml:space="preserve">
（T-1）</t>
    </r>
  </si>
  <si>
    <r>
      <rPr>
        <b/>
        <sz val="11"/>
        <color rgb="FF000000"/>
        <rFont val="宋体"/>
        <charset val="134"/>
        <scheme val="minor"/>
      </rPr>
      <t>交货滞留率</t>
    </r>
    <r>
      <rPr>
        <b/>
        <sz val="10"/>
        <color rgb="FF000000"/>
        <rFont val="宋体"/>
        <charset val="134"/>
        <scheme val="minor"/>
      </rPr>
      <t>（2.8%）</t>
    </r>
    <r>
      <rPr>
        <b/>
        <sz val="11"/>
        <color rgb="FF000000"/>
        <rFont val="宋体"/>
        <charset val="134"/>
        <scheme val="minor"/>
      </rPr>
      <t xml:space="preserve">
（T-1）</t>
    </r>
  </si>
  <si>
    <r>
      <rPr>
        <b/>
        <sz val="11"/>
        <color rgb="FF000000"/>
        <rFont val="宋体"/>
        <charset val="134"/>
        <scheme val="minor"/>
      </rPr>
      <t>进港投诉率</t>
    </r>
    <r>
      <rPr>
        <b/>
        <sz val="10"/>
        <color rgb="FF000000"/>
        <rFont val="宋体"/>
        <charset val="134"/>
        <scheme val="minor"/>
      </rPr>
      <t>（百万分之400）</t>
    </r>
    <r>
      <rPr>
        <b/>
        <sz val="11"/>
        <color rgb="FF000000"/>
        <rFont val="宋体"/>
        <charset val="134"/>
        <scheme val="minor"/>
      </rPr>
      <t xml:space="preserve">
（T-2）</t>
    </r>
  </si>
  <si>
    <r>
      <rPr>
        <b/>
        <sz val="11"/>
        <color rgb="FF000000"/>
        <rFont val="宋体"/>
        <charset val="134"/>
        <scheme val="minor"/>
      </rPr>
      <t xml:space="preserve">虚假签收
</t>
    </r>
    <r>
      <rPr>
        <b/>
        <sz val="10"/>
        <color rgb="FF000000"/>
        <rFont val="宋体"/>
        <charset val="134"/>
        <scheme val="minor"/>
      </rPr>
      <t>（百万分之300）</t>
    </r>
    <r>
      <rPr>
        <b/>
        <sz val="11"/>
        <color rgb="FF000000"/>
        <rFont val="宋体"/>
        <charset val="134"/>
        <scheme val="minor"/>
      </rPr>
      <t xml:space="preserve">
（T-2）</t>
    </r>
  </si>
  <si>
    <r>
      <rPr>
        <b/>
        <sz val="11"/>
        <rFont val="宋体"/>
        <charset val="134"/>
        <scheme val="minor"/>
      </rPr>
      <t>送货上门签收率</t>
    </r>
    <r>
      <rPr>
        <b/>
        <sz val="10"/>
        <rFont val="宋体"/>
        <charset val="134"/>
        <scheme val="minor"/>
      </rPr>
      <t>（97%）</t>
    </r>
    <r>
      <rPr>
        <b/>
        <sz val="11"/>
        <rFont val="宋体"/>
        <charset val="134"/>
        <scheme val="minor"/>
      </rPr>
      <t xml:space="preserve">
（T-2）</t>
    </r>
  </si>
  <si>
    <t>片区</t>
  </si>
  <si>
    <t>网点</t>
  </si>
  <si>
    <t>出仓率及时率</t>
  </si>
  <si>
    <t>预估考核金额
（元）</t>
  </si>
  <si>
    <t>滞留量</t>
  </si>
  <si>
    <t>滞留率</t>
  </si>
  <si>
    <t>投诉量</t>
  </si>
  <si>
    <t>投诉率
（百万分）</t>
  </si>
  <si>
    <t>未签收量</t>
  </si>
  <si>
    <t>签收率</t>
  </si>
  <si>
    <t>嘉太片区</t>
  </si>
  <si>
    <r>
      <rPr>
        <b/>
        <sz val="11"/>
        <color rgb="FF000000"/>
        <rFont val="宋体"/>
        <charset val="134"/>
        <scheme val="minor"/>
      </rPr>
      <t>当天揽收率</t>
    </r>
    <r>
      <rPr>
        <b/>
        <sz val="10"/>
        <color rgb="FF000000"/>
        <rFont val="宋体"/>
        <charset val="134"/>
        <scheme val="minor"/>
      </rPr>
      <t>（98%）</t>
    </r>
    <r>
      <rPr>
        <b/>
        <sz val="11"/>
        <color rgb="FF000000"/>
        <rFont val="宋体"/>
        <charset val="134"/>
        <scheme val="minor"/>
      </rPr>
      <t xml:space="preserve">
（T-2）</t>
    </r>
  </si>
  <si>
    <t>签收率（97.5%）
（T-1）</t>
  </si>
  <si>
    <t>48小时签收考核（99.5%）
（T-2）</t>
  </si>
  <si>
    <r>
      <rPr>
        <b/>
        <sz val="11"/>
        <rFont val="宋体"/>
        <charset val="134"/>
        <scheme val="minor"/>
      </rPr>
      <t>客户声音</t>
    </r>
    <r>
      <rPr>
        <b/>
        <sz val="10"/>
        <rFont val="宋体"/>
        <charset val="134"/>
        <scheme val="minor"/>
      </rPr>
      <t>（95%）</t>
    </r>
    <r>
      <rPr>
        <b/>
        <sz val="11"/>
        <rFont val="宋体"/>
        <charset val="134"/>
        <scheme val="minor"/>
      </rPr>
      <t xml:space="preserve">
（T-2）</t>
    </r>
  </si>
  <si>
    <t>订单总量</t>
  </si>
  <si>
    <t>及时揽收率</t>
  </si>
  <si>
    <t>当天考核量</t>
  </si>
  <si>
    <t>当天签收率</t>
  </si>
  <si>
    <t>预估总罚款
（元）</t>
  </si>
  <si>
    <t>未按时签收量</t>
  </si>
  <si>
    <t>未履约量</t>
  </si>
  <si>
    <t>履约率</t>
  </si>
  <si>
    <t>及时性（T-1）</t>
  </si>
  <si>
    <t>完整性（T-1）</t>
  </si>
  <si>
    <t>准确性（T-1）</t>
  </si>
  <si>
    <t>揽收上传不及时</t>
  </si>
  <si>
    <t>派件上传不及时</t>
  </si>
  <si>
    <t>签收上传不及时</t>
  </si>
  <si>
    <t>未揽收</t>
  </si>
  <si>
    <t>未派件</t>
  </si>
  <si>
    <t>未到件</t>
  </si>
  <si>
    <t>揽收晚于派件</t>
  </si>
  <si>
    <t>揽收晚于签收</t>
  </si>
  <si>
    <t>派件晚于签收</t>
  </si>
  <si>
    <t>到件晚于签收</t>
  </si>
  <si>
    <t>注：明细单号数据在表格其它Sheet页。</t>
  </si>
  <si>
    <t>12.21浏河公司未及时签收量统计</t>
  </si>
  <si>
    <t>12.2浏河公司未及时签收量统计</t>
  </si>
  <si>
    <t>12.2沙溪公司未签收票数统计</t>
  </si>
  <si>
    <t>三段码</t>
  </si>
  <si>
    <t>未签收票数</t>
  </si>
  <si>
    <t>总计</t>
  </si>
  <si>
    <t>303 C500 072</t>
  </si>
  <si>
    <t>303 C500 019</t>
  </si>
  <si>
    <t>303 K400</t>
  </si>
  <si>
    <t>303 C500 076</t>
  </si>
  <si>
    <t>303 C500 023</t>
  </si>
  <si>
    <t>303 K400 015</t>
  </si>
  <si>
    <t>303 C500 025</t>
  </si>
  <si>
    <t>303 K400 TJ3</t>
  </si>
  <si>
    <t>303 C500 010</t>
  </si>
  <si>
    <t>303 C500</t>
  </si>
  <si>
    <t>303 K400 039</t>
  </si>
  <si>
    <t>303 C500 177</t>
  </si>
  <si>
    <t>303 C500 028</t>
  </si>
  <si>
    <t>303 K400 023</t>
  </si>
  <si>
    <t>303 C500 020</t>
  </si>
  <si>
    <t>303 C500 096</t>
  </si>
  <si>
    <t>303 K400 036</t>
  </si>
  <si>
    <t>303 C500 090</t>
  </si>
  <si>
    <t>303 K400 067</t>
  </si>
  <si>
    <t>303 C500 088</t>
  </si>
  <si>
    <t>303 K400 078</t>
  </si>
  <si>
    <t>303 C500 024</t>
  </si>
  <si>
    <t>303 C500 011</t>
  </si>
  <si>
    <t>303 K400 024</t>
  </si>
  <si>
    <t>城区公司、科教新城公司、沙溪公司签收率均已达标。</t>
  </si>
  <si>
    <t>303 C500 060</t>
  </si>
  <si>
    <t>303 C500 001</t>
  </si>
  <si>
    <t>303 K400 901</t>
  </si>
  <si>
    <t>303 C500 179</t>
  </si>
  <si>
    <t>303 C500 013</t>
  </si>
  <si>
    <t>303 K400 044</t>
  </si>
  <si>
    <t>303 C500 015</t>
  </si>
  <si>
    <t>303 K400 048</t>
  </si>
  <si>
    <t>303 C500 017</t>
  </si>
  <si>
    <t>303 K400 050</t>
  </si>
  <si>
    <t>303 C500 018</t>
  </si>
  <si>
    <t>303 K400 101</t>
  </si>
  <si>
    <t>303 K400 051</t>
  </si>
  <si>
    <t>303 C500 009</t>
  </si>
  <si>
    <t>303 C500 027</t>
  </si>
  <si>
    <t>303 K400 201</t>
  </si>
  <si>
    <t>303 C500 116</t>
  </si>
  <si>
    <t>303 K400 666</t>
  </si>
  <si>
    <t>303 K400 TJ2</t>
  </si>
  <si>
    <t>303 C500 117</t>
  </si>
  <si>
    <t>303 C500 016</t>
  </si>
  <si>
    <t>303 K400 016</t>
  </si>
  <si>
    <t>303 C500 026</t>
  </si>
  <si>
    <t>303 K400 020</t>
  </si>
  <si>
    <t>303 C500 055</t>
  </si>
  <si>
    <t>303 K400 10C</t>
  </si>
  <si>
    <t>303 C500 074</t>
  </si>
  <si>
    <t>303 C500 003</t>
  </si>
  <si>
    <t>303 C500 007</t>
  </si>
  <si>
    <t>303 K400 037</t>
  </si>
  <si>
    <t>303 C500 178</t>
  </si>
  <si>
    <t>303 C500 091</t>
  </si>
  <si>
    <t>303 K400 105</t>
  </si>
  <si>
    <t>303 C500 097</t>
  </si>
  <si>
    <t>303 K400 018</t>
  </si>
  <si>
    <t>303 C500 118</t>
  </si>
  <si>
    <t>303 K400 047</t>
  </si>
  <si>
    <t>303 K400 049</t>
  </si>
  <si>
    <t>303 C500 022</t>
  </si>
  <si>
    <t>303 K400 076</t>
  </si>
  <si>
    <t>303 K400 106</t>
  </si>
  <si>
    <t>303 K400 10Z</t>
  </si>
  <si>
    <t>303 K400 124</t>
  </si>
  <si>
    <t>303 C500 012</t>
  </si>
  <si>
    <t>303 K400 125</t>
  </si>
  <si>
    <t>303 C500 006</t>
  </si>
  <si>
    <t>303 K400 902</t>
  </si>
  <si>
    <t>303 C500 098</t>
  </si>
  <si>
    <t>303 C500 021</t>
  </si>
  <si>
    <t>303 C500 176</t>
  </si>
  <si>
    <t>303 C500 071</t>
  </si>
  <si>
    <t>303 C500 085</t>
  </si>
  <si>
    <t>303 C500 093</t>
  </si>
  <si>
    <t>303 C500 014</t>
  </si>
  <si>
    <t>303 C500 035</t>
  </si>
  <si>
    <t>303 C500 078</t>
  </si>
  <si>
    <t>303 C500 008</t>
  </si>
  <si>
    <t>303 C500 077</t>
  </si>
  <si>
    <t>303 C500 180</t>
  </si>
  <si>
    <t>305 C500 021</t>
  </si>
  <si>
    <t>305 C500 028</t>
  </si>
  <si>
    <t>303 C500 303</t>
  </si>
  <si>
    <t>303 C500 005</t>
  </si>
  <si>
    <t>303 C500 175</t>
  </si>
  <si>
    <t>303 C500 036</t>
  </si>
  <si>
    <t>303 C500 089</t>
  </si>
  <si>
    <t>303 C500 073</t>
  </si>
  <si>
    <t>1.09城区公司出仓率不达标统计</t>
  </si>
  <si>
    <t>1.09科教新城公司出仓率不达标统计</t>
  </si>
  <si>
    <t>1.20城区公司出仓率不达标统计</t>
  </si>
  <si>
    <t>12.20沙溪公司出仓率不达标统计</t>
  </si>
  <si>
    <t>派件员</t>
  </si>
  <si>
    <t>扫排不及时票数</t>
  </si>
  <si>
    <t>扫派不及时票数</t>
  </si>
  <si>
    <t>城区吴本念（刘凯）</t>
  </si>
  <si>
    <t>钱佳宇058</t>
  </si>
  <si>
    <t>沙溪利泰015张九明</t>
  </si>
  <si>
    <t>城区王丽丽082</t>
  </si>
  <si>
    <t>徐双文061</t>
  </si>
  <si>
    <t>沙溪璜泾067潘雅琼</t>
  </si>
  <si>
    <t>城区杨昌奎084</t>
  </si>
  <si>
    <t>田彬065</t>
  </si>
  <si>
    <t>沙溪岳王023徐颖颖</t>
  </si>
  <si>
    <t>城区张英杰400</t>
  </si>
  <si>
    <t>杨志杰057</t>
  </si>
  <si>
    <t>沙溪双凤039韩欣雨</t>
  </si>
  <si>
    <t>城区雷恒俊121</t>
  </si>
  <si>
    <t>机动甄鹏翔999</t>
  </si>
  <si>
    <t>沙溪归庄078潘虹</t>
  </si>
  <si>
    <t>城区刘欢043</t>
  </si>
  <si>
    <t>陶丽君063</t>
  </si>
  <si>
    <t>tc退货三月</t>
  </si>
  <si>
    <t>城区曹忆文033</t>
  </si>
  <si>
    <t>张康乐108</t>
  </si>
  <si>
    <t>沙溪新毛050朱宏亮</t>
  </si>
  <si>
    <t>城区逆向退货</t>
  </si>
  <si>
    <t>黄明武060</t>
  </si>
  <si>
    <t>沙溪直塘051陈北京</t>
  </si>
  <si>
    <t>城区汪海波067</t>
  </si>
  <si>
    <t>旦其永046</t>
  </si>
  <si>
    <t>沙溪鹿河024丁晓琳</t>
  </si>
  <si>
    <t>城区张天保402</t>
  </si>
  <si>
    <t>黄明文064</t>
  </si>
  <si>
    <t>沙溪直营901杨苗</t>
  </si>
  <si>
    <t>城区板桥014范峰</t>
  </si>
  <si>
    <t>冯银滨045</t>
  </si>
  <si>
    <t>沙溪沙东049高翔</t>
  </si>
  <si>
    <t>-</t>
  </si>
  <si>
    <t>李新军049</t>
  </si>
  <si>
    <t>沙溪金浪036小于13806246244</t>
  </si>
  <si>
    <t>孙喜才机动</t>
  </si>
  <si>
    <t>许涛106</t>
  </si>
  <si>
    <t>沙溪松南044全先峰</t>
  </si>
  <si>
    <t>城区杨康028</t>
  </si>
  <si>
    <t>李让002</t>
  </si>
  <si>
    <t>沙溪沙东101段文涛</t>
  </si>
  <si>
    <t>城区娄志兵</t>
  </si>
  <si>
    <t>沙溪047谢强华</t>
  </si>
  <si>
    <t>城区陈俊宇007</t>
  </si>
  <si>
    <t>马官鑫107</t>
  </si>
  <si>
    <t>沙溪时思037韩飞</t>
  </si>
  <si>
    <t>城区乔建标069</t>
  </si>
  <si>
    <t>黄军044</t>
  </si>
  <si>
    <t>沙溪沙东106蒋先庆</t>
  </si>
  <si>
    <t>城区张健（机动）</t>
  </si>
  <si>
    <t>张棒棒010</t>
  </si>
  <si>
    <t>城区张育恩118</t>
  </si>
  <si>
    <t>江清波042</t>
  </si>
  <si>
    <t>沙溪沙东048王洪杰</t>
  </si>
  <si>
    <t>城区张丰403</t>
  </si>
  <si>
    <t>李晓梅059</t>
  </si>
  <si>
    <t>沙溪直营666严学春</t>
  </si>
  <si>
    <t>城区花健305</t>
  </si>
  <si>
    <t>李代澎100</t>
  </si>
  <si>
    <t>沙溪双凤10F尹桂林</t>
  </si>
  <si>
    <t>城区许晔999（机动）</t>
  </si>
  <si>
    <t>钱丹丹114</t>
  </si>
  <si>
    <t>沙溪璜泾201潘奎霖</t>
  </si>
  <si>
    <t>城区张伟桢116</t>
  </si>
  <si>
    <t>巫肖明023</t>
  </si>
  <si>
    <t>沙溪016超级帅业务员郭月</t>
  </si>
  <si>
    <t>城区王银299</t>
  </si>
  <si>
    <t>胡成申321</t>
  </si>
  <si>
    <t>沙溪鹿河124高庆东</t>
  </si>
  <si>
    <t>城区刘杰122</t>
  </si>
  <si>
    <t>江素华048</t>
  </si>
  <si>
    <t>沙溪直营902孙鑫</t>
  </si>
  <si>
    <t>城区余德华202</t>
  </si>
  <si>
    <t>师哲072</t>
  </si>
  <si>
    <t>沙溪直营555郑</t>
  </si>
  <si>
    <t>城区板桥303王金续</t>
  </si>
  <si>
    <t>詹家俊003</t>
  </si>
  <si>
    <t>沙溪利泰018蔡兆可</t>
  </si>
  <si>
    <t>城区雷恒雨115</t>
  </si>
  <si>
    <t>邵久虎077</t>
  </si>
  <si>
    <t>沙溪直营022温建光</t>
  </si>
  <si>
    <t>城区王保存309（板桥）</t>
  </si>
  <si>
    <t>王德范机动</t>
  </si>
  <si>
    <t>沙溪鹿河125徐娟</t>
  </si>
  <si>
    <t>城区胡江锋054</t>
  </si>
  <si>
    <t>陶钱聪009</t>
  </si>
  <si>
    <t>沙溪利泰021李卫东</t>
  </si>
  <si>
    <t>城区任佳楠006</t>
  </si>
  <si>
    <t>胡亚运320</t>
  </si>
  <si>
    <t>沙溪沙东105贺金林</t>
  </si>
  <si>
    <t>城区葛圣宇112</t>
  </si>
  <si>
    <t>杨超凡120</t>
  </si>
  <si>
    <t>沙溪直营020牛洋洋</t>
  </si>
  <si>
    <t>城区汤永祥068</t>
  </si>
  <si>
    <t>丁培飞053</t>
  </si>
  <si>
    <t>沙溪双凤10C陈海</t>
  </si>
  <si>
    <t>城区张闯华204</t>
  </si>
  <si>
    <t>任青彬169</t>
  </si>
  <si>
    <t>沙溪超级客服</t>
  </si>
  <si>
    <t>城区陈义明109</t>
  </si>
  <si>
    <t>周敏敏机动</t>
  </si>
  <si>
    <t>沙溪利泰019文青川</t>
  </si>
  <si>
    <t>城区王天亮304</t>
  </si>
  <si>
    <t>徐小兰062</t>
  </si>
  <si>
    <t>沙溪双凤10Z周磊</t>
  </si>
  <si>
    <t>胡爱龙401</t>
  </si>
  <si>
    <t>訾祥011</t>
  </si>
  <si>
    <t>城区陈方凯012</t>
  </si>
  <si>
    <t>张凯亮022</t>
  </si>
  <si>
    <t>城区刘明坤088</t>
  </si>
  <si>
    <t>覃志毫418</t>
  </si>
  <si>
    <t>城区刘世林020</t>
  </si>
  <si>
    <t>城区南园老王119</t>
  </si>
  <si>
    <t>城区029申亚楠17638932823</t>
  </si>
  <si>
    <t>城区板桥018段瑞祥</t>
  </si>
  <si>
    <t>城区姜昆405</t>
  </si>
  <si>
    <t>城区李啟涛017</t>
  </si>
  <si>
    <t>城区孙纪军113</t>
  </si>
  <si>
    <t>城区张雪球306</t>
  </si>
  <si>
    <t>城区冯兴隆406</t>
  </si>
  <si>
    <t>城区张志康117</t>
  </si>
  <si>
    <t>城区板桥308彭艳安</t>
  </si>
  <si>
    <t>城区郭再伟201</t>
  </si>
  <si>
    <t>城区机动蔡小凯（公司）</t>
  </si>
  <si>
    <t>城区刘志新203</t>
  </si>
  <si>
    <t>城区吴健304</t>
  </si>
  <si>
    <t>城区张毓真999</t>
  </si>
  <si>
    <t>城区质控</t>
  </si>
  <si>
    <t>1.14城区公司进港投诉明细统计</t>
  </si>
  <si>
    <t>1.14城区公司进港投诉DSR统计</t>
  </si>
  <si>
    <t>小件员名称</t>
  </si>
  <si>
    <t>查件</t>
  </si>
  <si>
    <t>派送地点错误</t>
  </si>
  <si>
    <t>签收未收到</t>
  </si>
  <si>
    <t>收不到取件码</t>
  </si>
  <si>
    <t>要求理赔</t>
  </si>
  <si>
    <t>要求送货上门</t>
  </si>
  <si>
    <t>小件员</t>
  </si>
  <si>
    <t>差评量</t>
  </si>
  <si>
    <t>任佳楠</t>
  </si>
  <si>
    <t>姜昆</t>
  </si>
  <si>
    <t>刘明坤</t>
  </si>
  <si>
    <t>城区刘彦斐301</t>
  </si>
  <si>
    <t>1.14科教新城公司进港投诉明细统计</t>
  </si>
  <si>
    <t>1.14科教新城公司进港投诉DSR统计</t>
  </si>
  <si>
    <t>催物流</t>
  </si>
  <si>
    <t>李若彤客服</t>
  </si>
  <si>
    <t>杨志杰</t>
  </si>
  <si>
    <t>1.14浏河公司进港投诉明细统计</t>
  </si>
  <si>
    <t>1.14浏河公司进港投诉DSR统计</t>
  </si>
  <si>
    <t>破损</t>
  </si>
  <si>
    <t>要求放到指定地点</t>
  </si>
  <si>
    <t>要求派前/派后通知</t>
  </si>
  <si>
    <t>派件员名称</t>
  </si>
  <si>
    <t>浏河新塘060刘辉</t>
  </si>
  <si>
    <t>刘东</t>
  </si>
  <si>
    <t>王慧敏</t>
  </si>
  <si>
    <t>飞马路172号拼多多驿站施辉迪</t>
  </si>
  <si>
    <t>李敬大</t>
  </si>
  <si>
    <t>浮桥浮桥028王德权</t>
  </si>
  <si>
    <t>吴迪</t>
  </si>
  <si>
    <t>浏河055王连君</t>
  </si>
  <si>
    <t>浏河浮桥张春辉019（查件可加微信stkdtc）</t>
  </si>
  <si>
    <t>浏河010徐纪华</t>
  </si>
  <si>
    <t>浏河015赵红磊</t>
  </si>
  <si>
    <t>浏河039王常江</t>
  </si>
  <si>
    <t>浏河074上海假日胡蓉花</t>
  </si>
  <si>
    <t>浏河085石善翠</t>
  </si>
  <si>
    <t>浏河128侯中源</t>
  </si>
  <si>
    <t>浏河212刘海波</t>
  </si>
  <si>
    <t>浏河220方明帅</t>
  </si>
  <si>
    <t>浏河浮桥024曹聪</t>
  </si>
  <si>
    <t>浏河浮桥025徐川</t>
  </si>
  <si>
    <t>浏河陆渡一部116郑（查件可加微信stkdtc）</t>
  </si>
  <si>
    <t>浏河彭莹</t>
  </si>
  <si>
    <t>1.14沙溪公司进港投诉明细统计</t>
  </si>
  <si>
    <t>1.14沙溪公司进港投诉DSR统计</t>
  </si>
  <si>
    <t>分拣错误</t>
  </si>
  <si>
    <t>退回</t>
  </si>
  <si>
    <t>郑雨生</t>
  </si>
  <si>
    <t>前台02</t>
  </si>
  <si>
    <t>全先锋</t>
  </si>
  <si>
    <t>前台10</t>
  </si>
  <si>
    <t>丁晓琳</t>
  </si>
  <si>
    <t>前台12</t>
  </si>
  <si>
    <t>徐颖颖</t>
  </si>
  <si>
    <t>潘奎霖</t>
  </si>
  <si>
    <t>王从健1</t>
  </si>
  <si>
    <t>重固张达顺</t>
  </si>
  <si>
    <t>1.12城区公司送货上门未签量</t>
  </si>
  <si>
    <t>1.10科教新城公司送货上门未签量</t>
  </si>
  <si>
    <t>1.19城区公司送货上门未签量</t>
  </si>
  <si>
    <t>派送小件员名称</t>
  </si>
  <si>
    <t>未签票数</t>
  </si>
  <si>
    <t>王松松055</t>
  </si>
  <si>
    <t>1.19城区公司客户声音未履约明细统计</t>
  </si>
  <si>
    <t>放门口未履约，
不要电联已履约</t>
  </si>
  <si>
    <t>送货上门未履约</t>
  </si>
  <si>
    <t>送货上门未履约，
不要电联未履约</t>
  </si>
  <si>
    <t>沙溪公司客户声音履约率已达标。</t>
  </si>
  <si>
    <t>城区王乐112</t>
  </si>
  <si>
    <t>1.19科教新城公司客户声音未履约明细统计</t>
  </si>
  <si>
    <t>放门口未履约</t>
  </si>
  <si>
    <t>送货上门已履约，
不要电联未履约</t>
  </si>
  <si>
    <t>送货上门未履约，
不要电联已履约</t>
  </si>
  <si>
    <t>未及时出仓量</t>
    <phoneticPr fontId="21" type="noConversion"/>
  </si>
  <si>
    <t>{{Name}}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</si>
</sst>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 "/>
    <numFmt numFmtId="177" formatCode="0_ "/>
    <numFmt numFmtId="178" formatCode="0.0_ "/>
    <numFmt numFmtId="179" formatCode="0_);[Red]\(0\)"/>
  </numFmts>
  <fonts count="24" x14ac:knownFonts="1">
    <font>
      <sz val="11"/>
      <color indexed="8"/>
      <name val="宋体"/>
      <charset val="134"/>
      <scheme val="minor"/>
    </font>
    <font>
      <b/>
      <sz val="11"/>
      <color indexed="8"/>
      <name val="微软雅黑"/>
      <charset val="134"/>
    </font>
    <font>
      <b/>
      <sz val="16"/>
      <color indexed="8"/>
      <name val="宋体"/>
      <charset val="134"/>
      <scheme val="major"/>
    </font>
    <font>
      <b/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indexed="8"/>
      <name val="宋体"/>
      <charset val="134"/>
      <scheme val="minor"/>
    </font>
    <font>
      <b/>
      <sz val="11"/>
      <color indexed="8"/>
      <name val="宋体"/>
      <charset val="134"/>
      <scheme val="major"/>
    </font>
    <font>
      <sz val="11"/>
      <color indexed="8"/>
      <name val="宋体"/>
      <charset val="134"/>
      <scheme val="major"/>
    </font>
    <font>
      <b/>
      <sz val="12"/>
      <color indexed="8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Fill="1">
      <alignment vertical="center"/>
    </xf>
    <xf numFmtId="0" fontId="0" fillId="0" borderId="0" xfId="0" applyFont="1" applyFill="1" applyAlignment="1">
      <alignment horizontal="left" vertical="top"/>
    </xf>
    <xf numFmtId="0" fontId="12" fillId="4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176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top" wrapText="1"/>
    </xf>
    <xf numFmtId="0" fontId="14" fillId="9" borderId="1" xfId="0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 applyProtection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 applyProtection="1">
      <alignment horizontal="center" vertical="center"/>
    </xf>
    <xf numFmtId="0" fontId="14" fillId="8" borderId="6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0" fontId="15" fillId="0" borderId="1" xfId="0" applyNumberFormat="1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/>
    </xf>
    <xf numFmtId="10" fontId="15" fillId="0" borderId="7" xfId="0" applyNumberFormat="1" applyFont="1" applyFill="1" applyBorder="1" applyAlignment="1" applyProtection="1">
      <alignment horizontal="center" vertical="center"/>
    </xf>
    <xf numFmtId="0" fontId="15" fillId="0" borderId="7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4" fillId="0" borderId="0" xfId="0" applyFont="1" applyFill="1" applyAlignment="1" applyProtection="1">
      <alignment horizontal="center" vertical="center"/>
    </xf>
    <xf numFmtId="0" fontId="11" fillId="0" borderId="0" xfId="0" applyFont="1" applyFill="1" applyAlignment="1">
      <alignment horizontal="left" wrapText="1"/>
    </xf>
    <xf numFmtId="0" fontId="14" fillId="0" borderId="0" xfId="0" applyFont="1" applyFill="1" applyAlignment="1">
      <alignment horizontal="center" vertical="center"/>
    </xf>
    <xf numFmtId="0" fontId="14" fillId="9" borderId="7" xfId="0" applyFont="1" applyFill="1" applyBorder="1" applyAlignment="1" applyProtection="1">
      <alignment horizontal="center" vertical="center"/>
    </xf>
    <xf numFmtId="0" fontId="14" fillId="9" borderId="8" xfId="0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/>
    </xf>
    <xf numFmtId="0" fontId="14" fillId="7" borderId="1" xfId="0" applyFont="1" applyFill="1" applyBorder="1" applyAlignment="1" applyProtection="1">
      <alignment horizontal="center" vertical="center" wrapText="1"/>
    </xf>
    <xf numFmtId="0" fontId="5" fillId="7" borderId="1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14" fillId="0" borderId="8" xfId="0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10" fontId="14" fillId="0" borderId="1" xfId="0" applyNumberFormat="1" applyFont="1" applyFill="1" applyBorder="1" applyAlignment="1" applyProtection="1">
      <alignment horizontal="center" vertical="center"/>
    </xf>
    <xf numFmtId="0" fontId="15" fillId="0" borderId="4" xfId="0" applyNumberFormat="1" applyFont="1" applyFill="1" applyBorder="1" applyAlignment="1" applyProtection="1">
      <alignment horizontal="center" vertical="center" wrapText="1"/>
    </xf>
    <xf numFmtId="10" fontId="15" fillId="0" borderId="1" xfId="0" applyNumberFormat="1" applyFont="1" applyFill="1" applyBorder="1" applyAlignment="1" applyProtection="1">
      <alignment horizontal="center" vertical="center" wrapText="1"/>
    </xf>
    <xf numFmtId="176" fontId="15" fillId="0" borderId="1" xfId="0" applyNumberFormat="1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14" fillId="2" borderId="8" xfId="0" applyFont="1" applyFill="1" applyBorder="1" applyAlignment="1" applyProtection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10" fontId="14" fillId="0" borderId="1" xfId="0" applyNumberFormat="1" applyFont="1" applyFill="1" applyBorder="1" applyAlignment="1">
      <alignment horizontal="center" vertical="center" wrapText="1"/>
    </xf>
    <xf numFmtId="0" fontId="14" fillId="8" borderId="6" xfId="0" applyFont="1" applyFill="1" applyBorder="1" applyAlignment="1" applyProtection="1">
      <alignment horizontal="center" vertical="center" wrapText="1"/>
    </xf>
    <xf numFmtId="0" fontId="14" fillId="8" borderId="13" xfId="0" applyFont="1" applyFill="1" applyBorder="1" applyAlignment="1" applyProtection="1">
      <alignment horizontal="center" vertical="center"/>
    </xf>
    <xf numFmtId="0" fontId="14" fillId="8" borderId="13" xfId="0" applyFont="1" applyFill="1" applyBorder="1" applyAlignment="1" applyProtection="1">
      <alignment horizontal="center" vertical="center" wrapText="1"/>
    </xf>
    <xf numFmtId="0" fontId="15" fillId="8" borderId="1" xfId="0" applyFont="1" applyFill="1" applyBorder="1" applyAlignment="1" applyProtection="1">
      <alignment horizontal="center" vertical="center"/>
    </xf>
    <xf numFmtId="179" fontId="15" fillId="0" borderId="7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center" vertical="center"/>
    </xf>
    <xf numFmtId="0" fontId="5" fillId="0" borderId="14" xfId="0" applyFont="1" applyFill="1" applyBorder="1" applyAlignment="1" applyProtection="1">
      <alignment horizontal="center" vertical="center"/>
    </xf>
    <xf numFmtId="177" fontId="14" fillId="0" borderId="1" xfId="0" applyNumberFormat="1" applyFont="1" applyFill="1" applyBorder="1" applyAlignment="1" applyProtection="1">
      <alignment horizontal="center" vertical="center"/>
    </xf>
    <xf numFmtId="10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horizontal="left"/>
    </xf>
    <xf numFmtId="179" fontId="0" fillId="0" borderId="0" xfId="0" applyNumberFormat="1" applyFont="1" applyAlignment="1">
      <alignment horizontal="center" vertical="center"/>
    </xf>
    <xf numFmtId="0" fontId="0" fillId="7" borderId="1" xfId="0" applyFont="1" applyFill="1" applyBorder="1" applyAlignment="1">
      <alignment horizontal="center" vertical="center" wrapText="1"/>
    </xf>
    <xf numFmtId="10" fontId="15" fillId="0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Fill="1" applyAlignment="1">
      <alignment vertical="top" wrapText="1"/>
    </xf>
    <xf numFmtId="0" fontId="22" fillId="6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16" fillId="5" borderId="8" xfId="0" applyFont="1" applyFill="1" applyBorder="1" applyAlignment="1" applyProtection="1">
      <alignment horizontal="center" vertical="center"/>
    </xf>
    <xf numFmtId="0" fontId="16" fillId="5" borderId="9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horizontal="center" vertical="center" wrapText="1"/>
    </xf>
    <xf numFmtId="0" fontId="10" fillId="7" borderId="3" xfId="0" applyFont="1" applyFill="1" applyBorder="1" applyAlignment="1" applyProtection="1">
      <alignment horizontal="center" vertical="center" wrapText="1"/>
    </xf>
    <xf numFmtId="0" fontId="10" fillId="7" borderId="4" xfId="0" applyFont="1" applyFill="1" applyBorder="1" applyAlignment="1" applyProtection="1">
      <alignment horizontal="center" vertical="center" wrapText="1"/>
    </xf>
    <xf numFmtId="0" fontId="13" fillId="8" borderId="1" xfId="0" applyFont="1" applyFill="1" applyBorder="1" applyAlignment="1" applyProtection="1">
      <alignment horizontal="center" vertical="center" wrapText="1"/>
    </xf>
    <xf numFmtId="0" fontId="13" fillId="8" borderId="1" xfId="0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0" fillId="0" borderId="0" xfId="0" applyFont="1" applyAlignment="1">
      <alignment horizontal="center"/>
    </xf>
    <xf numFmtId="0" fontId="16" fillId="5" borderId="1" xfId="0" applyFont="1" applyFill="1" applyBorder="1" applyAlignment="1" applyProtection="1">
      <alignment horizontal="center" vertical="center"/>
    </xf>
    <xf numFmtId="0" fontId="10" fillId="6" borderId="2" xfId="0" applyFont="1" applyFill="1" applyBorder="1" applyAlignment="1" applyProtection="1">
      <alignment horizontal="center" vertical="center" wrapText="1"/>
    </xf>
    <xf numFmtId="0" fontId="10" fillId="6" borderId="3" xfId="0" applyFont="1" applyFill="1" applyBorder="1" applyAlignment="1" applyProtection="1">
      <alignment horizontal="center" vertical="center" wrapText="1"/>
    </xf>
    <xf numFmtId="0" fontId="10" fillId="7" borderId="2" xfId="0" applyFont="1" applyFill="1" applyBorder="1" applyAlignment="1" applyProtection="1">
      <alignment horizontal="center" vertical="center" wrapText="1"/>
    </xf>
    <xf numFmtId="0" fontId="10" fillId="8" borderId="2" xfId="0" applyFont="1" applyFill="1" applyBorder="1" applyAlignment="1" applyProtection="1">
      <alignment horizontal="center" vertical="center" wrapText="1"/>
    </xf>
    <xf numFmtId="0" fontId="10" fillId="8" borderId="10" xfId="0" applyFont="1" applyFill="1" applyBorder="1" applyAlignment="1" applyProtection="1">
      <alignment horizontal="center" vertical="center" wrapText="1"/>
    </xf>
    <xf numFmtId="0" fontId="10" fillId="8" borderId="11" xfId="0" applyFont="1" applyFill="1" applyBorder="1" applyAlignment="1" applyProtection="1">
      <alignment horizontal="center" vertical="center" wrapText="1"/>
    </xf>
    <xf numFmtId="0" fontId="10" fillId="8" borderId="12" xfId="0" applyFont="1" applyFill="1" applyBorder="1" applyAlignment="1" applyProtection="1">
      <alignment horizontal="center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showGridLines="0" tabSelected="1" topLeftCell="A9" workbookViewId="0">
      <selection activeCell="C17" sqref="C17"/>
    </sheetView>
  </sheetViews>
  <sheetFormatPr defaultColWidth="21" defaultRowHeight="19.95" customHeight="1" x14ac:dyDescent="0.25"/>
  <cols>
    <col min="1" max="1" width="16.33203125" style="1" customWidth="1"/>
    <col min="2" max="2" width="25.21875" style="1" customWidth="1"/>
    <col min="3" max="3" width="15.33203125" style="1" customWidth="1"/>
    <col min="4" max="4" width="13.44140625" style="1" customWidth="1"/>
    <col min="5" max="5" width="15.77734375" style="1" customWidth="1"/>
    <col min="6" max="6" width="15" style="1" customWidth="1"/>
    <col min="7" max="7" width="12.77734375" style="1" customWidth="1"/>
    <col min="8" max="8" width="14.44140625" style="1" customWidth="1"/>
    <col min="9" max="9" width="15.21875" style="1" customWidth="1"/>
    <col min="10" max="10" width="17.44140625" style="1" customWidth="1"/>
    <col min="11" max="11" width="14.88671875" style="1" customWidth="1"/>
    <col min="12" max="12" width="16.33203125" style="1" customWidth="1"/>
    <col min="13" max="13" width="15" style="1" customWidth="1"/>
    <col min="14" max="14" width="14.21875" style="1" customWidth="1"/>
    <col min="15" max="15" width="14.33203125" style="1" customWidth="1"/>
    <col min="16" max="16" width="12.6640625" style="1" customWidth="1"/>
    <col min="17" max="17" width="15.33203125" customWidth="1"/>
    <col min="18" max="18" width="10.88671875" customWidth="1"/>
    <col min="19" max="19" width="17.109375" customWidth="1"/>
    <col min="20" max="20" width="13.109375" customWidth="1"/>
    <col min="21" max="21" width="9.109375" customWidth="1"/>
  </cols>
  <sheetData>
    <row r="1" spans="1:17" s="31" customFormat="1" ht="99" customHeight="1" x14ac:dyDescent="0.25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95"/>
      <c r="O1" s="95"/>
    </row>
    <row r="2" spans="1:17" s="20" customFormat="1" ht="37.950000000000003" customHeight="1" x14ac:dyDescent="0.25">
      <c r="A2" s="38" t="s">
        <v>1</v>
      </c>
      <c r="B2" s="38" t="s">
        <v>2</v>
      </c>
      <c r="C2" s="39" t="s">
        <v>3</v>
      </c>
      <c r="D2" s="39" t="s">
        <v>4</v>
      </c>
      <c r="E2" s="39" t="s">
        <v>5</v>
      </c>
      <c r="F2" s="39" t="s">
        <v>4</v>
      </c>
      <c r="G2" s="39" t="s">
        <v>6</v>
      </c>
      <c r="H2" s="39" t="s">
        <v>4</v>
      </c>
      <c r="I2" s="39" t="s">
        <v>7</v>
      </c>
      <c r="J2" s="39" t="s">
        <v>4</v>
      </c>
      <c r="K2" s="39" t="s">
        <v>8</v>
      </c>
      <c r="L2" s="39" t="s">
        <v>4</v>
      </c>
      <c r="M2" s="24" t="s">
        <v>9</v>
      </c>
      <c r="N2" s="96"/>
      <c r="O2" s="96"/>
    </row>
    <row r="3" spans="1:17" s="31" customFormat="1" ht="25.05" customHeight="1" x14ac:dyDescent="0.25">
      <c r="A3" s="40">
        <v>20260118</v>
      </c>
      <c r="B3" s="41" t="s">
        <v>10</v>
      </c>
      <c r="C3" s="42"/>
      <c r="D3" s="43"/>
      <c r="E3" s="44"/>
      <c r="F3" s="45"/>
      <c r="G3" s="40"/>
      <c r="H3" s="43"/>
      <c r="I3" s="40"/>
      <c r="J3" s="43"/>
      <c r="K3" s="97"/>
      <c r="L3" s="43"/>
      <c r="M3" s="5">
        <f t="shared" ref="M3:M6" si="0">D3+F3+H3+J3+L3</f>
        <v>0</v>
      </c>
      <c r="N3" s="48"/>
      <c r="O3" s="48"/>
    </row>
    <row r="4" spans="1:17" s="31" customFormat="1" ht="25.05" customHeight="1" x14ac:dyDescent="0.25">
      <c r="A4" s="40">
        <v>20260118</v>
      </c>
      <c r="B4" s="41" t="s">
        <v>11</v>
      </c>
      <c r="C4" s="42"/>
      <c r="D4" s="43"/>
      <c r="E4" s="40"/>
      <c r="F4" s="43"/>
      <c r="G4" s="42"/>
      <c r="H4" s="43"/>
      <c r="I4" s="40"/>
      <c r="J4" s="43"/>
      <c r="K4" s="97"/>
      <c r="L4" s="43"/>
      <c r="M4" s="5">
        <f t="shared" si="0"/>
        <v>0</v>
      </c>
      <c r="N4" s="48"/>
      <c r="O4" s="48"/>
    </row>
    <row r="5" spans="1:17" s="31" customFormat="1" ht="25.05" customHeight="1" x14ac:dyDescent="0.25">
      <c r="A5" s="40">
        <v>20260118</v>
      </c>
      <c r="B5" s="41" t="s">
        <v>12</v>
      </c>
      <c r="C5" s="42"/>
      <c r="D5" s="43"/>
      <c r="E5" s="40"/>
      <c r="F5" s="43"/>
      <c r="G5" s="40"/>
      <c r="H5" s="43"/>
      <c r="I5" s="40"/>
      <c r="J5" s="43"/>
      <c r="K5" s="97"/>
      <c r="L5" s="43"/>
      <c r="M5" s="5">
        <f t="shared" si="0"/>
        <v>0</v>
      </c>
      <c r="N5" s="48"/>
      <c r="O5" s="48"/>
    </row>
    <row r="6" spans="1:17" s="31" customFormat="1" ht="25.05" customHeight="1" x14ac:dyDescent="0.25">
      <c r="A6" s="40">
        <v>20260118</v>
      </c>
      <c r="B6" s="41" t="s">
        <v>13</v>
      </c>
      <c r="C6" s="42"/>
      <c r="D6" s="43"/>
      <c r="E6" s="42"/>
      <c r="F6" s="43"/>
      <c r="G6" s="40"/>
      <c r="H6" s="46"/>
      <c r="I6" s="40"/>
      <c r="J6" s="43"/>
      <c r="K6" s="97"/>
      <c r="L6" s="43"/>
      <c r="M6" s="5">
        <f t="shared" si="0"/>
        <v>0</v>
      </c>
      <c r="N6" s="48"/>
      <c r="O6" s="48"/>
    </row>
    <row r="7" spans="1:17" s="31" customFormat="1" ht="19.95" customHeight="1" x14ac:dyDescent="0.25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</row>
    <row r="8" spans="1:17" s="35" customFormat="1" ht="37.950000000000003" customHeight="1" x14ac:dyDescent="0.25">
      <c r="A8" s="38" t="s">
        <v>14</v>
      </c>
      <c r="B8" s="38" t="s">
        <v>2</v>
      </c>
      <c r="C8" s="39" t="s">
        <v>4</v>
      </c>
      <c r="D8" s="39" t="s">
        <v>15</v>
      </c>
      <c r="E8" s="39" t="s">
        <v>16</v>
      </c>
      <c r="F8" s="39" t="s">
        <v>17</v>
      </c>
      <c r="G8" s="39" t="s">
        <v>18</v>
      </c>
      <c r="H8" s="39" t="s">
        <v>19</v>
      </c>
      <c r="I8" s="39" t="s">
        <v>20</v>
      </c>
      <c r="J8" s="39" t="s">
        <v>21</v>
      </c>
      <c r="K8" s="39" t="s">
        <v>22</v>
      </c>
      <c r="L8" s="39" t="s">
        <v>23</v>
      </c>
      <c r="M8" s="39" t="s">
        <v>24</v>
      </c>
      <c r="N8" s="39" t="s">
        <v>25</v>
      </c>
      <c r="O8" s="39" t="s">
        <v>26</v>
      </c>
      <c r="P8" s="39" t="s">
        <v>27</v>
      </c>
    </row>
    <row r="9" spans="1:17" s="8" customFormat="1" ht="25.05" customHeight="1" x14ac:dyDescent="0.25">
      <c r="A9" s="13">
        <v>20260118</v>
      </c>
      <c r="B9" s="41" t="s">
        <v>10</v>
      </c>
      <c r="C9" s="49">
        <f t="shared" ref="C9:C12" si="1">SUM(E9:O9)</f>
        <v>0</v>
      </c>
      <c r="D9" s="50"/>
      <c r="E9" s="41"/>
      <c r="F9" s="41"/>
      <c r="G9" s="41"/>
      <c r="H9" s="41"/>
      <c r="I9" s="41"/>
      <c r="J9" s="41"/>
      <c r="K9" s="25"/>
      <c r="L9" s="41"/>
      <c r="M9" s="41"/>
      <c r="N9" s="25"/>
      <c r="O9" s="13"/>
      <c r="P9" s="13"/>
    </row>
    <row r="10" spans="1:17" s="8" customFormat="1" ht="25.05" customHeight="1" x14ac:dyDescent="0.25">
      <c r="A10" s="13">
        <v>20260118</v>
      </c>
      <c r="B10" s="41" t="s">
        <v>11</v>
      </c>
      <c r="C10" s="49">
        <f t="shared" si="1"/>
        <v>0</v>
      </c>
      <c r="D10" s="50"/>
      <c r="E10" s="41"/>
      <c r="F10" s="41"/>
      <c r="G10" s="41"/>
      <c r="H10" s="41"/>
      <c r="I10" s="41"/>
      <c r="J10" s="41"/>
      <c r="K10" s="25"/>
      <c r="L10" s="41"/>
      <c r="M10" s="41"/>
      <c r="N10" s="25"/>
      <c r="O10" s="13"/>
      <c r="P10" s="13"/>
    </row>
    <row r="11" spans="1:17" s="8" customFormat="1" ht="25.05" customHeight="1" x14ac:dyDescent="0.25">
      <c r="A11" s="13">
        <v>20260118</v>
      </c>
      <c r="B11" s="41" t="s">
        <v>12</v>
      </c>
      <c r="C11" s="49">
        <f t="shared" si="1"/>
        <v>0</v>
      </c>
      <c r="D11" s="50"/>
      <c r="E11" s="41"/>
      <c r="F11" s="41"/>
      <c r="G11" s="41"/>
      <c r="H11" s="41"/>
      <c r="I11" s="41"/>
      <c r="J11" s="41"/>
      <c r="K11" s="41"/>
      <c r="L11" s="41"/>
      <c r="M11" s="41"/>
      <c r="N11" s="25"/>
      <c r="O11" s="13"/>
      <c r="P11" s="13"/>
    </row>
    <row r="12" spans="1:17" s="8" customFormat="1" ht="25.05" customHeight="1" x14ac:dyDescent="0.25">
      <c r="A12" s="13">
        <v>20260118</v>
      </c>
      <c r="B12" s="41" t="s">
        <v>13</v>
      </c>
      <c r="C12" s="49">
        <f t="shared" si="1"/>
        <v>0</v>
      </c>
      <c r="D12" s="50"/>
      <c r="E12" s="41"/>
      <c r="F12" s="41"/>
      <c r="G12" s="41"/>
      <c r="H12" s="41"/>
      <c r="I12" s="41"/>
      <c r="J12" s="41"/>
      <c r="K12" s="25"/>
      <c r="L12" s="41"/>
      <c r="M12" s="41"/>
      <c r="N12" s="25"/>
      <c r="O12" s="13"/>
      <c r="P12" s="13"/>
    </row>
    <row r="13" spans="1:17" s="36" customFormat="1" ht="15" customHeight="1" x14ac:dyDescent="0.25">
      <c r="A13" s="10"/>
      <c r="B13" s="51"/>
      <c r="C13" s="52"/>
      <c r="D13" s="53"/>
      <c r="E13" s="53"/>
      <c r="F13" s="53"/>
      <c r="G13" s="53"/>
      <c r="H13" s="53"/>
      <c r="I13" s="53"/>
      <c r="J13" s="53"/>
      <c r="K13" s="52"/>
      <c r="L13" s="51"/>
      <c r="M13" s="52"/>
      <c r="N13" s="52"/>
      <c r="O13" s="53"/>
      <c r="P13" s="53"/>
    </row>
    <row r="14" spans="1:17" s="37" customFormat="1" ht="15" customHeight="1" x14ac:dyDescent="0.25">
      <c r="A14" s="54"/>
      <c r="B14" s="54"/>
      <c r="C14" s="141">
        <v>20260120</v>
      </c>
      <c r="D14" s="141"/>
      <c r="E14" s="141"/>
      <c r="F14" s="129">
        <v>20260120</v>
      </c>
      <c r="G14" s="129"/>
      <c r="H14" s="130">
        <v>20260119</v>
      </c>
      <c r="I14" s="130"/>
      <c r="J14" s="130">
        <v>20260119</v>
      </c>
      <c r="K14" s="130"/>
      <c r="L14" s="130">
        <v>20260119</v>
      </c>
      <c r="M14" s="130"/>
      <c r="P14" s="54"/>
      <c r="Q14" s="117"/>
    </row>
    <row r="15" spans="1:17" s="37" customFormat="1" ht="51" customHeight="1" x14ac:dyDescent="0.25">
      <c r="A15" s="131" t="s">
        <v>28</v>
      </c>
      <c r="B15" s="131"/>
      <c r="C15" s="132" t="s">
        <v>29</v>
      </c>
      <c r="D15" s="133"/>
      <c r="E15" s="133"/>
      <c r="F15" s="134" t="s">
        <v>30</v>
      </c>
      <c r="G15" s="125"/>
      <c r="H15" s="135" t="s">
        <v>31</v>
      </c>
      <c r="I15" s="136"/>
      <c r="J15" s="137" t="s">
        <v>32</v>
      </c>
      <c r="K15" s="138"/>
      <c r="L15" s="126" t="s">
        <v>33</v>
      </c>
      <c r="M15" s="127"/>
      <c r="P15" s="54"/>
      <c r="Q15" s="117"/>
    </row>
    <row r="16" spans="1:17" s="37" customFormat="1" ht="34.049999999999997" customHeight="1" x14ac:dyDescent="0.25">
      <c r="A16" s="55" t="s">
        <v>34</v>
      </c>
      <c r="B16" s="55" t="s">
        <v>35</v>
      </c>
      <c r="C16" s="118" t="s">
        <v>382</v>
      </c>
      <c r="D16" s="56" t="s">
        <v>36</v>
      </c>
      <c r="E16" s="57" t="s">
        <v>37</v>
      </c>
      <c r="F16" s="58" t="s">
        <v>38</v>
      </c>
      <c r="G16" s="58" t="s">
        <v>39</v>
      </c>
      <c r="H16" s="59" t="s">
        <v>40</v>
      </c>
      <c r="I16" s="98" t="s">
        <v>41</v>
      </c>
      <c r="J16" s="99" t="s">
        <v>40</v>
      </c>
      <c r="K16" s="100" t="s">
        <v>41</v>
      </c>
      <c r="L16" s="101" t="s">
        <v>42</v>
      </c>
      <c r="M16" s="101" t="s">
        <v>43</v>
      </c>
      <c r="P16" s="54"/>
      <c r="Q16" s="117"/>
    </row>
    <row r="17" spans="1:20" s="37" customFormat="1" ht="30" customHeight="1" x14ac:dyDescent="0.25">
      <c r="A17" s="60" t="s">
        <v>44</v>
      </c>
      <c r="B17" s="61" t="s">
        <v>10</v>
      </c>
      <c r="C17" s="119" t="s">
        <v>383</v>
      </c>
      <c r="D17" s="62">
        <v>2</v>
      </c>
      <c r="E17" s="62">
        <v>3</v>
      </c>
      <c r="F17" s="62">
        <v>4</v>
      </c>
      <c r="G17" s="62">
        <v>5</v>
      </c>
      <c r="H17" s="62">
        <v>6</v>
      </c>
      <c r="I17" s="62">
        <v>7</v>
      </c>
      <c r="J17" s="62">
        <v>8</v>
      </c>
      <c r="K17" s="62">
        <v>9</v>
      </c>
      <c r="L17" s="62">
        <v>10</v>
      </c>
      <c r="M17" s="62">
        <v>11</v>
      </c>
      <c r="P17" s="54"/>
      <c r="Q17" s="117"/>
    </row>
    <row r="18" spans="1:20" s="37" customFormat="1" ht="30" customHeight="1" x14ac:dyDescent="0.25">
      <c r="A18" s="60" t="s">
        <v>44</v>
      </c>
      <c r="B18" s="60" t="s">
        <v>11</v>
      </c>
      <c r="C18" s="62"/>
      <c r="D18" s="63"/>
      <c r="E18" s="64"/>
      <c r="F18" s="65"/>
      <c r="G18" s="66"/>
      <c r="H18" s="67"/>
      <c r="I18" s="102"/>
      <c r="J18" s="103"/>
      <c r="K18" s="104"/>
      <c r="L18" s="105"/>
      <c r="M18" s="63"/>
      <c r="P18" s="54"/>
      <c r="Q18" s="117"/>
    </row>
    <row r="19" spans="1:20" s="37" customFormat="1" ht="30" customHeight="1" x14ac:dyDescent="0.25">
      <c r="A19" s="60" t="s">
        <v>44</v>
      </c>
      <c r="B19" s="60" t="s">
        <v>12</v>
      </c>
      <c r="C19" s="68"/>
      <c r="D19" s="69"/>
      <c r="E19" s="70"/>
      <c r="F19" s="65"/>
      <c r="G19" s="66"/>
      <c r="H19" s="65"/>
      <c r="I19" s="102"/>
      <c r="J19" s="106"/>
      <c r="K19" s="107"/>
      <c r="L19" s="103"/>
      <c r="M19" s="108"/>
      <c r="P19" s="54"/>
      <c r="Q19" s="117"/>
    </row>
    <row r="20" spans="1:20" s="37" customFormat="1" ht="30" customHeight="1" x14ac:dyDescent="0.25">
      <c r="A20" s="60" t="s">
        <v>44</v>
      </c>
      <c r="B20" s="60" t="s">
        <v>13</v>
      </c>
      <c r="C20" s="62"/>
      <c r="D20" s="63"/>
      <c r="E20" s="64"/>
      <c r="F20" s="67"/>
      <c r="G20" s="66"/>
      <c r="H20" s="67"/>
      <c r="I20" s="102"/>
      <c r="J20" s="103"/>
      <c r="K20" s="109"/>
      <c r="L20" s="103"/>
      <c r="M20" s="108"/>
      <c r="P20" s="54"/>
      <c r="Q20" s="117"/>
    </row>
    <row r="21" spans="1:20" s="37" customFormat="1" ht="9" customHeight="1" x14ac:dyDescent="0.25">
      <c r="A21" s="71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110"/>
      <c r="O21" s="72"/>
      <c r="P21" s="54"/>
      <c r="Q21" s="117"/>
    </row>
    <row r="22" spans="1:20" ht="18" customHeight="1" x14ac:dyDescent="0.25">
      <c r="A22" s="73"/>
      <c r="B22" s="73"/>
      <c r="C22" s="128">
        <v>20260119</v>
      </c>
      <c r="D22" s="128"/>
      <c r="E22" s="129">
        <v>20260120</v>
      </c>
      <c r="F22" s="129"/>
      <c r="G22" s="129"/>
      <c r="H22" s="129">
        <v>20260119</v>
      </c>
      <c r="I22" s="129"/>
      <c r="J22" s="130">
        <v>20260119</v>
      </c>
      <c r="K22" s="130"/>
      <c r="L22"/>
      <c r="M22"/>
      <c r="N22"/>
      <c r="O22"/>
      <c r="P22"/>
    </row>
    <row r="23" spans="1:20" ht="46.05" customHeight="1" x14ac:dyDescent="0.25">
      <c r="A23" s="120" t="s">
        <v>28</v>
      </c>
      <c r="B23" s="121"/>
      <c r="C23" s="123" t="s">
        <v>45</v>
      </c>
      <c r="D23" s="123"/>
      <c r="E23" s="124" t="s">
        <v>46</v>
      </c>
      <c r="F23" s="124"/>
      <c r="G23" s="125"/>
      <c r="H23" s="124" t="s">
        <v>47</v>
      </c>
      <c r="I23" s="125"/>
      <c r="J23" s="126" t="s">
        <v>48</v>
      </c>
      <c r="K23" s="126"/>
      <c r="P23" s="111"/>
      <c r="Q23" s="115"/>
      <c r="R23" s="115"/>
      <c r="S23" s="91"/>
      <c r="T23" s="91"/>
    </row>
    <row r="24" spans="1:20" ht="34.950000000000003" customHeight="1" x14ac:dyDescent="0.25">
      <c r="A24" s="74" t="s">
        <v>34</v>
      </c>
      <c r="B24" s="75" t="s">
        <v>35</v>
      </c>
      <c r="C24" s="76" t="s">
        <v>49</v>
      </c>
      <c r="D24" s="76" t="s">
        <v>50</v>
      </c>
      <c r="E24" s="77" t="s">
        <v>51</v>
      </c>
      <c r="F24" s="78" t="s">
        <v>52</v>
      </c>
      <c r="G24" s="79" t="s">
        <v>53</v>
      </c>
      <c r="H24" s="80" t="s">
        <v>54</v>
      </c>
      <c r="I24" s="112" t="s">
        <v>43</v>
      </c>
      <c r="J24" s="101" t="s">
        <v>55</v>
      </c>
      <c r="K24" s="101" t="s">
        <v>56</v>
      </c>
      <c r="P24" s="111"/>
      <c r="Q24" s="115"/>
      <c r="R24" s="115"/>
      <c r="S24" s="91"/>
      <c r="T24" s="91"/>
    </row>
    <row r="25" spans="1:20" ht="31.05" customHeight="1" x14ac:dyDescent="0.25">
      <c r="A25" s="81" t="s">
        <v>44</v>
      </c>
      <c r="B25" s="61" t="s">
        <v>10</v>
      </c>
      <c r="C25" s="82">
        <v>12</v>
      </c>
      <c r="D25" s="82">
        <v>13</v>
      </c>
      <c r="E25" s="82">
        <v>14</v>
      </c>
      <c r="F25" s="82">
        <v>15</v>
      </c>
      <c r="G25" s="82">
        <v>16</v>
      </c>
      <c r="H25" s="82">
        <v>17</v>
      </c>
      <c r="I25" s="82">
        <v>18</v>
      </c>
      <c r="J25" s="82">
        <v>19</v>
      </c>
      <c r="K25" s="82">
        <v>20</v>
      </c>
      <c r="P25" s="111"/>
      <c r="Q25" s="115"/>
      <c r="R25" s="115"/>
      <c r="S25" s="91"/>
      <c r="T25" s="91"/>
    </row>
    <row r="26" spans="1:20" ht="31.05" customHeight="1" x14ac:dyDescent="0.25">
      <c r="A26" s="81" t="s">
        <v>44</v>
      </c>
      <c r="B26" s="83" t="s">
        <v>11</v>
      </c>
      <c r="C26" s="84"/>
      <c r="D26" s="85"/>
      <c r="E26" s="86"/>
      <c r="F26" s="87"/>
      <c r="G26" s="88"/>
      <c r="H26" s="89"/>
      <c r="I26" s="113"/>
      <c r="J26" s="103"/>
      <c r="K26" s="63"/>
      <c r="P26" s="111"/>
      <c r="Q26" s="115"/>
      <c r="R26" s="115"/>
      <c r="S26" s="91"/>
      <c r="T26" s="91"/>
    </row>
    <row r="27" spans="1:20" ht="31.05" customHeight="1" x14ac:dyDescent="0.25">
      <c r="A27" s="81" t="s">
        <v>44</v>
      </c>
      <c r="B27" s="83" t="s">
        <v>12</v>
      </c>
      <c r="C27" s="82"/>
      <c r="D27" s="85"/>
      <c r="E27" s="84"/>
      <c r="F27" s="87"/>
      <c r="G27" s="88"/>
      <c r="H27" s="90"/>
      <c r="I27" s="113"/>
      <c r="J27" s="103"/>
      <c r="K27" s="114"/>
      <c r="L27"/>
      <c r="M27"/>
      <c r="N27"/>
      <c r="O27"/>
      <c r="P27" s="115"/>
      <c r="Q27" s="91"/>
      <c r="R27" s="91"/>
    </row>
    <row r="28" spans="1:20" ht="31.05" customHeight="1" x14ac:dyDescent="0.25">
      <c r="A28" s="81" t="s">
        <v>44</v>
      </c>
      <c r="B28" s="83" t="s">
        <v>13</v>
      </c>
      <c r="C28" s="84"/>
      <c r="D28" s="85"/>
      <c r="E28" s="84"/>
      <c r="F28" s="87"/>
      <c r="G28" s="88"/>
      <c r="H28" s="89"/>
      <c r="I28" s="113"/>
      <c r="J28" s="105"/>
      <c r="K28" s="63"/>
      <c r="N28" s="111"/>
      <c r="O28" s="111"/>
      <c r="P28"/>
      <c r="Q28" s="91"/>
      <c r="R28" s="91"/>
    </row>
    <row r="29" spans="1:20" ht="15" customHeight="1" x14ac:dyDescent="0.25">
      <c r="G29" s="91"/>
      <c r="H29" s="91"/>
      <c r="O29" s="116"/>
      <c r="P29" s="116"/>
      <c r="Q29" s="116"/>
      <c r="R29" s="116"/>
      <c r="S29" s="116"/>
    </row>
    <row r="30" spans="1:20" ht="27" customHeight="1" x14ac:dyDescent="0.25">
      <c r="A30" s="120" t="s">
        <v>28</v>
      </c>
      <c r="B30" s="121"/>
      <c r="C30" s="122" t="s">
        <v>57</v>
      </c>
      <c r="D30" s="122"/>
      <c r="E30" s="122"/>
      <c r="F30" s="122" t="s">
        <v>58</v>
      </c>
      <c r="G30" s="122"/>
      <c r="H30" s="122"/>
      <c r="I30" s="122" t="s">
        <v>59</v>
      </c>
      <c r="J30" s="122"/>
      <c r="K30" s="122"/>
      <c r="L30" s="122"/>
    </row>
    <row r="31" spans="1:20" ht="25.95" customHeight="1" x14ac:dyDescent="0.25">
      <c r="A31" s="74" t="s">
        <v>34</v>
      </c>
      <c r="B31" s="75" t="s">
        <v>35</v>
      </c>
      <c r="C31" s="13" t="s">
        <v>60</v>
      </c>
      <c r="D31" s="13" t="s">
        <v>61</v>
      </c>
      <c r="E31" s="13" t="s">
        <v>62</v>
      </c>
      <c r="F31" s="13" t="s">
        <v>63</v>
      </c>
      <c r="G31" s="13" t="s">
        <v>64</v>
      </c>
      <c r="H31" s="13" t="s">
        <v>65</v>
      </c>
      <c r="I31" s="13" t="s">
        <v>66</v>
      </c>
      <c r="J31" s="13" t="s">
        <v>67</v>
      </c>
      <c r="K31" s="13" t="s">
        <v>68</v>
      </c>
      <c r="L31" s="13" t="s">
        <v>69</v>
      </c>
    </row>
    <row r="32" spans="1:20" ht="24" customHeight="1" x14ac:dyDescent="0.25">
      <c r="A32" s="81" t="s">
        <v>44</v>
      </c>
      <c r="B32" s="92" t="s">
        <v>10</v>
      </c>
      <c r="C32" s="93">
        <v>21</v>
      </c>
      <c r="D32" s="93">
        <v>22</v>
      </c>
      <c r="E32" s="93">
        <v>23</v>
      </c>
      <c r="F32" s="93">
        <v>24</v>
      </c>
      <c r="G32" s="93">
        <v>25</v>
      </c>
      <c r="H32" s="93">
        <v>26</v>
      </c>
      <c r="I32" s="93">
        <v>27</v>
      </c>
      <c r="J32" s="93">
        <v>28</v>
      </c>
      <c r="K32" s="93">
        <v>29</v>
      </c>
      <c r="L32" s="93">
        <v>30</v>
      </c>
    </row>
    <row r="33" spans="1:16" ht="24" customHeight="1" x14ac:dyDescent="0.25">
      <c r="A33" s="81" t="s">
        <v>44</v>
      </c>
      <c r="B33" s="83" t="s">
        <v>11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6" ht="24" customHeight="1" x14ac:dyDescent="0.25">
      <c r="A34" s="81" t="s">
        <v>44</v>
      </c>
      <c r="B34" s="83" t="s">
        <v>12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/>
    </row>
    <row r="35" spans="1:16" ht="24" customHeight="1" x14ac:dyDescent="0.25">
      <c r="A35" s="81" t="s">
        <v>44</v>
      </c>
      <c r="B35" s="83" t="s">
        <v>13</v>
      </c>
      <c r="C35" s="6"/>
      <c r="D35" s="6"/>
      <c r="E35" s="6"/>
      <c r="F35" s="6"/>
      <c r="G35" s="6"/>
      <c r="H35" s="6"/>
      <c r="I35" s="6"/>
      <c r="J35" s="6"/>
      <c r="K35" s="6"/>
      <c r="L35" s="6"/>
    </row>
    <row r="37" spans="1:16" ht="25.05" customHeight="1" x14ac:dyDescent="0.25">
      <c r="A37" s="94" t="s">
        <v>70</v>
      </c>
      <c r="O37"/>
      <c r="P37"/>
    </row>
  </sheetData>
  <sortState xmlns:xlrd2="http://schemas.microsoft.com/office/spreadsheetml/2017/richdata2" ref="A2:AT47">
    <sortCondition ref="C2:C47"/>
  </sortState>
  <mergeCells count="25">
    <mergeCell ref="A1:M1"/>
    <mergeCell ref="C14:E14"/>
    <mergeCell ref="F14:G14"/>
    <mergeCell ref="H14:I14"/>
    <mergeCell ref="J14:K14"/>
    <mergeCell ref="L14:M14"/>
    <mergeCell ref="A15:B15"/>
    <mergeCell ref="C15:E15"/>
    <mergeCell ref="F15:G15"/>
    <mergeCell ref="H15:I15"/>
    <mergeCell ref="J15:K15"/>
    <mergeCell ref="L15:M15"/>
    <mergeCell ref="C22:D22"/>
    <mergeCell ref="E22:G22"/>
    <mergeCell ref="H22:I22"/>
    <mergeCell ref="J22:K22"/>
    <mergeCell ref="A30:B30"/>
    <mergeCell ref="C30:E30"/>
    <mergeCell ref="F30:H30"/>
    <mergeCell ref="I30:L30"/>
    <mergeCell ref="A23:B23"/>
    <mergeCell ref="C23:D23"/>
    <mergeCell ref="E23:G23"/>
    <mergeCell ref="H23:I23"/>
    <mergeCell ref="J23:K23"/>
  </mergeCells>
  <phoneticPr fontId="21" type="noConversion"/>
  <pageMargins left="0.7" right="0.7" top="0.75" bottom="0.75" header="0.3" footer="0.3"/>
  <pageSetup paperSize="9" orientation="portrait"/>
  <ignoredErrors>
    <ignoredError sqref="C9:C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7"/>
  <sheetViews>
    <sheetView showGridLines="0" workbookViewId="0">
      <selection activeCell="J114" sqref="J114"/>
    </sheetView>
  </sheetViews>
  <sheetFormatPr defaultColWidth="9" defaultRowHeight="14.4" x14ac:dyDescent="0.25"/>
  <cols>
    <col min="1" max="1" width="7.77734375" style="31" customWidth="1"/>
    <col min="2" max="2" width="30.21875" style="20" customWidth="1"/>
    <col min="3" max="3" width="26.77734375" style="20" customWidth="1"/>
    <col min="4" max="4" width="9" style="31"/>
    <col min="5" max="5" width="31.109375" hidden="1" customWidth="1"/>
    <col min="6" max="6" width="25.6640625" hidden="1" customWidth="1"/>
    <col min="7" max="7" width="9" style="31" hidden="1" customWidth="1"/>
    <col min="8" max="8" width="34" style="31" hidden="1" customWidth="1"/>
    <col min="9" max="9" width="20.88671875" style="31" hidden="1" customWidth="1"/>
    <col min="10" max="16384" width="9" style="31"/>
  </cols>
  <sheetData>
    <row r="2" spans="2:10" ht="34.049999999999997" customHeight="1" x14ac:dyDescent="0.25">
      <c r="B2" s="142" t="s">
        <v>71</v>
      </c>
      <c r="C2" s="142"/>
      <c r="D2" s="32"/>
      <c r="E2" s="142" t="s">
        <v>72</v>
      </c>
      <c r="F2" s="142"/>
      <c r="G2" s="32"/>
      <c r="H2" s="142" t="s">
        <v>73</v>
      </c>
      <c r="I2" s="142"/>
    </row>
    <row r="3" spans="2:10" ht="22.95" customHeight="1" x14ac:dyDescent="0.25">
      <c r="B3" s="3" t="s">
        <v>74</v>
      </c>
      <c r="C3" s="3" t="s">
        <v>75</v>
      </c>
      <c r="D3" s="32"/>
      <c r="E3" s="3" t="s">
        <v>74</v>
      </c>
      <c r="F3" s="3" t="s">
        <v>75</v>
      </c>
      <c r="G3" s="32"/>
      <c r="H3" s="3" t="s">
        <v>74</v>
      </c>
      <c r="I3" s="3" t="s">
        <v>75</v>
      </c>
    </row>
    <row r="4" spans="2:10" ht="19.95" customHeight="1" x14ac:dyDescent="0.25">
      <c r="B4" s="33" t="s">
        <v>76</v>
      </c>
      <c r="C4" s="33">
        <v>10306</v>
      </c>
      <c r="E4" s="33" t="s">
        <v>76</v>
      </c>
      <c r="F4" s="33">
        <v>302</v>
      </c>
      <c r="H4" s="33" t="s">
        <v>76</v>
      </c>
      <c r="I4" s="33">
        <v>280</v>
      </c>
    </row>
    <row r="5" spans="2:10" ht="19.95" customHeight="1" x14ac:dyDescent="0.25">
      <c r="B5" s="5" t="s">
        <v>77</v>
      </c>
      <c r="C5" s="7">
        <v>6859</v>
      </c>
      <c r="E5" s="5" t="s">
        <v>78</v>
      </c>
      <c r="F5" s="7">
        <v>34</v>
      </c>
      <c r="H5" s="5" t="s">
        <v>79</v>
      </c>
      <c r="I5" s="7">
        <v>65</v>
      </c>
    </row>
    <row r="6" spans="2:10" ht="19.95" customHeight="1" x14ac:dyDescent="0.25">
      <c r="B6" s="5" t="s">
        <v>80</v>
      </c>
      <c r="C6" s="7">
        <v>319</v>
      </c>
      <c r="E6" s="5" t="s">
        <v>81</v>
      </c>
      <c r="F6" s="7">
        <v>32</v>
      </c>
      <c r="H6" s="5" t="s">
        <v>82</v>
      </c>
      <c r="I6" s="7">
        <v>41</v>
      </c>
    </row>
    <row r="7" spans="2:10" ht="19.95" customHeight="1" x14ac:dyDescent="0.25">
      <c r="B7" s="5" t="s">
        <v>81</v>
      </c>
      <c r="C7" s="7">
        <v>288</v>
      </c>
      <c r="E7" s="5" t="s">
        <v>83</v>
      </c>
      <c r="F7" s="7">
        <v>21</v>
      </c>
      <c r="H7" s="5" t="s">
        <v>84</v>
      </c>
      <c r="I7" s="7">
        <v>39</v>
      </c>
    </row>
    <row r="8" spans="2:10" ht="19.95" customHeight="1" x14ac:dyDescent="0.25">
      <c r="B8" s="5" t="s">
        <v>85</v>
      </c>
      <c r="C8" s="7">
        <v>180</v>
      </c>
      <c r="E8" s="5" t="s">
        <v>86</v>
      </c>
      <c r="F8" s="7">
        <v>19</v>
      </c>
      <c r="H8" s="5" t="s">
        <v>87</v>
      </c>
      <c r="I8" s="7">
        <v>22</v>
      </c>
    </row>
    <row r="9" spans="2:10" ht="19.95" customHeight="1" x14ac:dyDescent="0.25">
      <c r="B9" s="6" t="s">
        <v>88</v>
      </c>
      <c r="C9" s="6">
        <v>131</v>
      </c>
      <c r="E9" s="5" t="s">
        <v>89</v>
      </c>
      <c r="F9" s="7">
        <v>17</v>
      </c>
      <c r="H9" s="5" t="s">
        <v>90</v>
      </c>
      <c r="I9" s="7">
        <v>10</v>
      </c>
    </row>
    <row r="10" spans="2:10" ht="19.95" customHeight="1" x14ac:dyDescent="0.25">
      <c r="B10" s="6" t="s">
        <v>91</v>
      </c>
      <c r="C10" s="6">
        <v>122</v>
      </c>
      <c r="E10" s="5" t="s">
        <v>92</v>
      </c>
      <c r="F10" s="7">
        <v>13</v>
      </c>
      <c r="H10" s="6" t="s">
        <v>93</v>
      </c>
      <c r="I10" s="6">
        <v>9</v>
      </c>
    </row>
    <row r="11" spans="2:10" ht="19.95" customHeight="1" x14ac:dyDescent="0.25">
      <c r="B11" s="6" t="s">
        <v>94</v>
      </c>
      <c r="C11" s="6">
        <v>117</v>
      </c>
      <c r="E11" s="6" t="s">
        <v>80</v>
      </c>
      <c r="F11" s="6">
        <v>9</v>
      </c>
      <c r="H11" s="6" t="s">
        <v>95</v>
      </c>
      <c r="I11" s="6">
        <v>9</v>
      </c>
    </row>
    <row r="12" spans="2:10" ht="19.95" customHeight="1" x14ac:dyDescent="0.25">
      <c r="B12" s="6" t="s">
        <v>89</v>
      </c>
      <c r="C12" s="6">
        <v>72</v>
      </c>
      <c r="E12" s="6" t="s">
        <v>96</v>
      </c>
      <c r="F12" s="6">
        <v>9</v>
      </c>
      <c r="H12" s="6" t="s">
        <v>97</v>
      </c>
      <c r="I12" s="6">
        <v>6</v>
      </c>
    </row>
    <row r="13" spans="2:10" ht="19.95" customHeight="1" x14ac:dyDescent="0.25">
      <c r="B13" s="6" t="s">
        <v>98</v>
      </c>
      <c r="C13" s="6">
        <v>65</v>
      </c>
      <c r="E13" s="6" t="s">
        <v>81</v>
      </c>
      <c r="F13" s="6">
        <v>8</v>
      </c>
      <c r="H13" s="6" t="s">
        <v>95</v>
      </c>
      <c r="I13" s="6">
        <v>6</v>
      </c>
    </row>
    <row r="14" spans="2:10" ht="19.95" customHeight="1" x14ac:dyDescent="0.25">
      <c r="B14" s="6" t="s">
        <v>99</v>
      </c>
      <c r="C14" s="6">
        <v>50</v>
      </c>
      <c r="E14" s="6" t="s">
        <v>85</v>
      </c>
      <c r="F14" s="6">
        <v>5</v>
      </c>
      <c r="H14" s="6" t="s">
        <v>100</v>
      </c>
      <c r="I14" s="6">
        <v>5</v>
      </c>
      <c r="J14" s="34" t="s">
        <v>101</v>
      </c>
    </row>
    <row r="15" spans="2:10" ht="19.95" customHeight="1" x14ac:dyDescent="0.25">
      <c r="B15" s="6" t="s">
        <v>102</v>
      </c>
      <c r="C15" s="6">
        <v>48</v>
      </c>
      <c r="E15" s="6" t="s">
        <v>103</v>
      </c>
      <c r="F15" s="6">
        <v>4</v>
      </c>
      <c r="H15" s="6" t="s">
        <v>104</v>
      </c>
      <c r="I15" s="6">
        <v>5</v>
      </c>
    </row>
    <row r="16" spans="2:10" ht="19.95" customHeight="1" x14ac:dyDescent="0.25">
      <c r="B16" s="6" t="s">
        <v>105</v>
      </c>
      <c r="C16" s="6">
        <v>46</v>
      </c>
      <c r="E16" s="6" t="s">
        <v>106</v>
      </c>
      <c r="F16" s="6">
        <v>4</v>
      </c>
      <c r="H16" s="6" t="s">
        <v>107</v>
      </c>
      <c r="I16" s="6">
        <v>4</v>
      </c>
    </row>
    <row r="17" spans="2:9" ht="19.95" customHeight="1" x14ac:dyDescent="0.25">
      <c r="B17" s="6" t="s">
        <v>78</v>
      </c>
      <c r="C17" s="6">
        <v>44</v>
      </c>
      <c r="E17" s="6" t="s">
        <v>108</v>
      </c>
      <c r="F17" s="6">
        <v>4</v>
      </c>
      <c r="H17" s="6" t="s">
        <v>109</v>
      </c>
      <c r="I17" s="6">
        <v>4</v>
      </c>
    </row>
    <row r="18" spans="2:9" ht="19.95" customHeight="1" x14ac:dyDescent="0.25">
      <c r="B18" s="6" t="s">
        <v>86</v>
      </c>
      <c r="C18" s="6">
        <v>39</v>
      </c>
      <c r="E18" s="6" t="s">
        <v>110</v>
      </c>
      <c r="F18" s="6">
        <v>4</v>
      </c>
      <c r="H18" s="6" t="s">
        <v>111</v>
      </c>
      <c r="I18" s="6">
        <v>4</v>
      </c>
    </row>
    <row r="19" spans="2:9" ht="19.95" customHeight="1" x14ac:dyDescent="0.25">
      <c r="B19" s="6" t="s">
        <v>96</v>
      </c>
      <c r="C19" s="6">
        <v>37</v>
      </c>
      <c r="E19" s="6" t="s">
        <v>112</v>
      </c>
      <c r="F19" s="6">
        <v>4</v>
      </c>
      <c r="H19" s="6" t="s">
        <v>113</v>
      </c>
      <c r="I19" s="6">
        <v>4</v>
      </c>
    </row>
    <row r="20" spans="2:9" ht="19.95" customHeight="1" x14ac:dyDescent="0.25">
      <c r="B20" s="6" t="s">
        <v>85</v>
      </c>
      <c r="C20" s="6">
        <v>37</v>
      </c>
      <c r="E20" s="6" t="s">
        <v>91</v>
      </c>
      <c r="F20" s="6">
        <v>4</v>
      </c>
      <c r="H20" s="6" t="s">
        <v>114</v>
      </c>
      <c r="I20" s="6">
        <v>3</v>
      </c>
    </row>
    <row r="21" spans="2:9" ht="19.95" customHeight="1" x14ac:dyDescent="0.25">
      <c r="B21" s="6" t="s">
        <v>115</v>
      </c>
      <c r="C21" s="6">
        <v>36</v>
      </c>
      <c r="E21" s="6" t="s">
        <v>116</v>
      </c>
      <c r="F21" s="6">
        <v>4</v>
      </c>
      <c r="H21" s="6" t="s">
        <v>117</v>
      </c>
      <c r="I21" s="6">
        <v>3</v>
      </c>
    </row>
    <row r="22" spans="2:9" ht="19.95" customHeight="1" x14ac:dyDescent="0.25">
      <c r="B22" s="6" t="s">
        <v>118</v>
      </c>
      <c r="C22" s="6">
        <v>34</v>
      </c>
      <c r="E22" s="6" t="s">
        <v>102</v>
      </c>
      <c r="F22" s="6">
        <v>4</v>
      </c>
      <c r="H22" s="6" t="s">
        <v>119</v>
      </c>
      <c r="I22" s="6">
        <v>3</v>
      </c>
    </row>
    <row r="23" spans="2:9" ht="19.95" customHeight="1" x14ac:dyDescent="0.25">
      <c r="B23" s="6" t="s">
        <v>108</v>
      </c>
      <c r="C23" s="6">
        <v>33</v>
      </c>
      <c r="E23" s="6" t="s">
        <v>88</v>
      </c>
      <c r="F23" s="6">
        <v>4</v>
      </c>
      <c r="H23" s="6" t="s">
        <v>120</v>
      </c>
      <c r="I23" s="6">
        <v>3</v>
      </c>
    </row>
    <row r="24" spans="2:9" ht="19.95" customHeight="1" x14ac:dyDescent="0.25">
      <c r="B24" s="6" t="s">
        <v>121</v>
      </c>
      <c r="C24" s="6">
        <v>33</v>
      </c>
      <c r="E24" s="6" t="s">
        <v>80</v>
      </c>
      <c r="F24" s="6">
        <v>4</v>
      </c>
      <c r="H24" s="6" t="s">
        <v>113</v>
      </c>
      <c r="I24" s="6">
        <v>3</v>
      </c>
    </row>
    <row r="25" spans="2:9" ht="19.95" customHeight="1" x14ac:dyDescent="0.25">
      <c r="B25" s="6" t="s">
        <v>83</v>
      </c>
      <c r="C25" s="6">
        <v>31</v>
      </c>
      <c r="E25" s="6" t="s">
        <v>122</v>
      </c>
      <c r="F25" s="6">
        <v>3</v>
      </c>
      <c r="H25" s="6" t="s">
        <v>123</v>
      </c>
      <c r="I25" s="6">
        <v>2</v>
      </c>
    </row>
    <row r="26" spans="2:9" ht="19.95" customHeight="1" x14ac:dyDescent="0.25">
      <c r="B26" s="6" t="s">
        <v>124</v>
      </c>
      <c r="C26" s="6">
        <v>30</v>
      </c>
      <c r="E26" s="6" t="s">
        <v>98</v>
      </c>
      <c r="F26" s="6">
        <v>3</v>
      </c>
      <c r="H26" s="6" t="s">
        <v>125</v>
      </c>
      <c r="I26" s="6">
        <v>2</v>
      </c>
    </row>
    <row r="27" spans="2:9" ht="19.95" customHeight="1" x14ac:dyDescent="0.25">
      <c r="B27" s="6" t="s">
        <v>112</v>
      </c>
      <c r="C27" s="6">
        <v>28</v>
      </c>
      <c r="E27" s="6" t="s">
        <v>126</v>
      </c>
      <c r="F27" s="6">
        <v>3</v>
      </c>
      <c r="H27" s="6" t="s">
        <v>127</v>
      </c>
      <c r="I27" s="6">
        <v>2</v>
      </c>
    </row>
    <row r="28" spans="2:9" ht="19.95" customHeight="1" x14ac:dyDescent="0.25">
      <c r="B28" s="6" t="s">
        <v>122</v>
      </c>
      <c r="C28" s="6">
        <v>27</v>
      </c>
      <c r="E28" s="6" t="s">
        <v>128</v>
      </c>
      <c r="F28" s="6">
        <v>3</v>
      </c>
      <c r="H28" s="6" t="s">
        <v>93</v>
      </c>
      <c r="I28" s="6">
        <v>2</v>
      </c>
    </row>
    <row r="29" spans="2:9" ht="19.95" customHeight="1" x14ac:dyDescent="0.25">
      <c r="B29" s="6" t="s">
        <v>129</v>
      </c>
      <c r="C29" s="6">
        <v>25</v>
      </c>
      <c r="E29" s="6" t="s">
        <v>130</v>
      </c>
      <c r="F29" s="6">
        <v>2</v>
      </c>
      <c r="H29" s="6" t="s">
        <v>131</v>
      </c>
      <c r="I29" s="6">
        <v>2</v>
      </c>
    </row>
    <row r="30" spans="2:9" ht="19.95" customHeight="1" x14ac:dyDescent="0.25">
      <c r="B30" s="6" t="s">
        <v>132</v>
      </c>
      <c r="C30" s="6">
        <v>25</v>
      </c>
      <c r="E30" s="6" t="s">
        <v>99</v>
      </c>
      <c r="F30" s="6">
        <v>2</v>
      </c>
      <c r="H30" s="6" t="s">
        <v>114</v>
      </c>
      <c r="I30" s="6">
        <v>2</v>
      </c>
    </row>
    <row r="31" spans="2:9" ht="19.95" customHeight="1" x14ac:dyDescent="0.25">
      <c r="B31" s="6" t="s">
        <v>105</v>
      </c>
      <c r="C31" s="6">
        <v>25</v>
      </c>
      <c r="E31" s="6" t="s">
        <v>94</v>
      </c>
      <c r="F31" s="6">
        <v>2</v>
      </c>
      <c r="H31" s="6" t="s">
        <v>97</v>
      </c>
      <c r="I31" s="6">
        <v>2</v>
      </c>
    </row>
    <row r="32" spans="2:9" ht="19.95" customHeight="1" x14ac:dyDescent="0.25">
      <c r="B32" s="6" t="s">
        <v>89</v>
      </c>
      <c r="C32" s="6">
        <v>23</v>
      </c>
      <c r="E32" s="6" t="s">
        <v>133</v>
      </c>
      <c r="F32" s="6">
        <v>2</v>
      </c>
      <c r="H32" s="6" t="s">
        <v>134</v>
      </c>
      <c r="I32" s="6">
        <v>2</v>
      </c>
    </row>
    <row r="33" spans="2:9" ht="19.95" customHeight="1" x14ac:dyDescent="0.25">
      <c r="B33" s="6" t="s">
        <v>128</v>
      </c>
      <c r="C33" s="6">
        <v>22</v>
      </c>
      <c r="E33" s="6" t="s">
        <v>135</v>
      </c>
      <c r="F33" s="6">
        <v>2</v>
      </c>
      <c r="H33" s="6" t="s">
        <v>136</v>
      </c>
      <c r="I33" s="6">
        <v>1</v>
      </c>
    </row>
    <row r="34" spans="2:9" ht="19.95" customHeight="1" x14ac:dyDescent="0.25">
      <c r="B34" s="6" t="s">
        <v>102</v>
      </c>
      <c r="C34" s="6">
        <v>21</v>
      </c>
      <c r="E34" s="6" t="s">
        <v>137</v>
      </c>
      <c r="F34" s="6">
        <v>2</v>
      </c>
      <c r="H34" s="6" t="s">
        <v>138</v>
      </c>
      <c r="I34" s="6">
        <v>1</v>
      </c>
    </row>
    <row r="35" spans="2:9" ht="19.95" customHeight="1" x14ac:dyDescent="0.25">
      <c r="B35" s="6" t="s">
        <v>96</v>
      </c>
      <c r="C35" s="6">
        <v>21</v>
      </c>
      <c r="E35" s="6" t="s">
        <v>132</v>
      </c>
      <c r="F35" s="6">
        <v>2</v>
      </c>
      <c r="H35" s="6" t="s">
        <v>139</v>
      </c>
      <c r="I35" s="6">
        <v>1</v>
      </c>
    </row>
    <row r="36" spans="2:9" ht="19.95" customHeight="1" x14ac:dyDescent="0.25">
      <c r="B36" s="6" t="s">
        <v>140</v>
      </c>
      <c r="C36" s="6">
        <v>20</v>
      </c>
      <c r="E36" s="6" t="s">
        <v>110</v>
      </c>
      <c r="F36" s="6">
        <v>2</v>
      </c>
      <c r="H36" s="6" t="s">
        <v>141</v>
      </c>
      <c r="I36" s="6">
        <v>1</v>
      </c>
    </row>
    <row r="37" spans="2:9" ht="19.95" customHeight="1" x14ac:dyDescent="0.25">
      <c r="B37" s="6" t="s">
        <v>106</v>
      </c>
      <c r="C37" s="6">
        <v>19</v>
      </c>
      <c r="E37" s="6" t="s">
        <v>98</v>
      </c>
      <c r="F37" s="6">
        <v>2</v>
      </c>
      <c r="H37" s="6" t="s">
        <v>134</v>
      </c>
      <c r="I37" s="6">
        <v>1</v>
      </c>
    </row>
    <row r="38" spans="2:9" ht="19.95" customHeight="1" x14ac:dyDescent="0.25">
      <c r="B38" s="6" t="s">
        <v>110</v>
      </c>
      <c r="C38" s="6">
        <v>19</v>
      </c>
      <c r="E38" s="6" t="s">
        <v>83</v>
      </c>
      <c r="F38" s="6">
        <v>2</v>
      </c>
      <c r="H38" s="6" t="s">
        <v>142</v>
      </c>
      <c r="I38" s="6">
        <v>1</v>
      </c>
    </row>
    <row r="39" spans="2:9" ht="19.95" customHeight="1" x14ac:dyDescent="0.25">
      <c r="B39" s="6" t="s">
        <v>126</v>
      </c>
      <c r="C39" s="6">
        <v>19</v>
      </c>
      <c r="E39" s="6" t="s">
        <v>124</v>
      </c>
      <c r="F39" s="6">
        <v>2</v>
      </c>
      <c r="H39" s="6" t="s">
        <v>143</v>
      </c>
      <c r="I39" s="6">
        <v>1</v>
      </c>
    </row>
    <row r="40" spans="2:9" ht="19.95" customHeight="1" x14ac:dyDescent="0.25">
      <c r="B40" s="6" t="s">
        <v>98</v>
      </c>
      <c r="C40" s="6">
        <v>19</v>
      </c>
      <c r="E40" s="6" t="s">
        <v>96</v>
      </c>
      <c r="F40" s="6">
        <v>2</v>
      </c>
      <c r="H40" s="6" t="s">
        <v>144</v>
      </c>
      <c r="I40" s="6">
        <v>1</v>
      </c>
    </row>
    <row r="41" spans="2:9" ht="19.95" customHeight="1" x14ac:dyDescent="0.25">
      <c r="B41" s="6" t="s">
        <v>145</v>
      </c>
      <c r="C41" s="6">
        <v>18</v>
      </c>
      <c r="E41" s="6" t="s">
        <v>135</v>
      </c>
      <c r="F41" s="6">
        <v>2</v>
      </c>
      <c r="H41" s="6" t="s">
        <v>146</v>
      </c>
      <c r="I41" s="6">
        <v>1</v>
      </c>
    </row>
    <row r="42" spans="2:9" ht="19.95" customHeight="1" x14ac:dyDescent="0.25">
      <c r="B42" s="6" t="s">
        <v>124</v>
      </c>
      <c r="C42" s="6">
        <v>17</v>
      </c>
      <c r="E42" s="6" t="s">
        <v>147</v>
      </c>
      <c r="F42" s="6">
        <v>1</v>
      </c>
      <c r="H42" s="6" t="s">
        <v>148</v>
      </c>
      <c r="I42" s="6">
        <v>1</v>
      </c>
    </row>
    <row r="43" spans="2:9" ht="19.95" customHeight="1" x14ac:dyDescent="0.25">
      <c r="B43" s="6" t="s">
        <v>149</v>
      </c>
      <c r="C43" s="6">
        <v>16</v>
      </c>
      <c r="E43" s="6" t="s">
        <v>150</v>
      </c>
      <c r="F43" s="6">
        <v>1</v>
      </c>
      <c r="H43" s="6" t="s">
        <v>136</v>
      </c>
      <c r="I43" s="6">
        <v>1</v>
      </c>
    </row>
    <row r="44" spans="2:9" ht="19.95" customHeight="1" x14ac:dyDescent="0.25">
      <c r="B44" s="6" t="s">
        <v>151</v>
      </c>
      <c r="C44" s="6">
        <v>15</v>
      </c>
      <c r="E44" s="6" t="s">
        <v>124</v>
      </c>
      <c r="F44" s="6">
        <v>1</v>
      </c>
      <c r="H44" s="6" t="s">
        <v>90</v>
      </c>
      <c r="I44" s="6">
        <v>1</v>
      </c>
    </row>
    <row r="45" spans="2:9" ht="19.95" customHeight="1" x14ac:dyDescent="0.25">
      <c r="B45" s="6" t="s">
        <v>130</v>
      </c>
      <c r="C45" s="6">
        <v>14</v>
      </c>
      <c r="E45" s="6" t="s">
        <v>152</v>
      </c>
      <c r="F45" s="6">
        <v>1</v>
      </c>
      <c r="H45" s="6" t="s">
        <v>109</v>
      </c>
      <c r="I45" s="6">
        <v>1</v>
      </c>
    </row>
    <row r="46" spans="2:9" ht="19.95" customHeight="1" x14ac:dyDescent="0.25">
      <c r="B46" s="6" t="s">
        <v>99</v>
      </c>
      <c r="C46" s="6">
        <v>14</v>
      </c>
      <c r="E46" s="6" t="s">
        <v>153</v>
      </c>
      <c r="F46" s="6">
        <v>1</v>
      </c>
      <c r="H46" s="6" t="s">
        <v>111</v>
      </c>
      <c r="I46" s="6">
        <v>1</v>
      </c>
    </row>
    <row r="47" spans="2:9" ht="19.95" customHeight="1" x14ac:dyDescent="0.25">
      <c r="B47" s="6" t="s">
        <v>110</v>
      </c>
      <c r="C47" s="6">
        <v>14</v>
      </c>
      <c r="E47" s="6" t="s">
        <v>154</v>
      </c>
      <c r="F47" s="6">
        <v>1</v>
      </c>
      <c r="H47" s="6" t="s">
        <v>146</v>
      </c>
      <c r="I47" s="6">
        <v>1</v>
      </c>
    </row>
    <row r="48" spans="2:9" ht="19.95" customHeight="1" x14ac:dyDescent="0.25">
      <c r="B48" s="6" t="s">
        <v>118</v>
      </c>
      <c r="C48" s="6">
        <v>14</v>
      </c>
      <c r="E48" s="6" t="s">
        <v>149</v>
      </c>
      <c r="F48" s="6">
        <v>1</v>
      </c>
      <c r="H48" s="6" t="s">
        <v>148</v>
      </c>
      <c r="I48" s="6">
        <v>1</v>
      </c>
    </row>
    <row r="49" spans="2:9" ht="19.95" customHeight="1" x14ac:dyDescent="0.25">
      <c r="B49" s="6" t="s">
        <v>108</v>
      </c>
      <c r="C49" s="6">
        <v>13</v>
      </c>
      <c r="E49" s="6" t="s">
        <v>118</v>
      </c>
      <c r="F49" s="6">
        <v>1</v>
      </c>
      <c r="H49" s="22"/>
      <c r="I49" s="22"/>
    </row>
    <row r="50" spans="2:9" ht="19.95" customHeight="1" x14ac:dyDescent="0.25">
      <c r="B50" s="6" t="s">
        <v>153</v>
      </c>
      <c r="C50" s="6">
        <v>12</v>
      </c>
      <c r="E50" s="6" t="s">
        <v>85</v>
      </c>
      <c r="F50" s="6">
        <v>1</v>
      </c>
      <c r="H50" s="22"/>
      <c r="I50" s="22"/>
    </row>
    <row r="51" spans="2:9" ht="19.95" customHeight="1" x14ac:dyDescent="0.25">
      <c r="B51" s="6" t="s">
        <v>140</v>
      </c>
      <c r="C51" s="6">
        <v>12</v>
      </c>
      <c r="E51" s="6" t="s">
        <v>99</v>
      </c>
      <c r="F51" s="6">
        <v>1</v>
      </c>
      <c r="H51" s="22"/>
      <c r="I51" s="22"/>
    </row>
    <row r="52" spans="2:9" ht="19.95" customHeight="1" x14ac:dyDescent="0.25">
      <c r="B52" s="6" t="s">
        <v>83</v>
      </c>
      <c r="C52" s="6">
        <v>12</v>
      </c>
      <c r="E52" s="6" t="s">
        <v>108</v>
      </c>
      <c r="F52" s="6">
        <v>1</v>
      </c>
      <c r="H52" s="22"/>
      <c r="I52" s="22"/>
    </row>
    <row r="53" spans="2:9" ht="19.95" customHeight="1" x14ac:dyDescent="0.25">
      <c r="B53" s="6" t="s">
        <v>155</v>
      </c>
      <c r="C53" s="6">
        <v>11</v>
      </c>
      <c r="E53" s="6" t="s">
        <v>122</v>
      </c>
      <c r="F53" s="6">
        <v>1</v>
      </c>
      <c r="H53" s="22"/>
      <c r="I53" s="22"/>
    </row>
    <row r="54" spans="2:9" ht="19.95" customHeight="1" x14ac:dyDescent="0.25">
      <c r="B54" s="6" t="s">
        <v>116</v>
      </c>
      <c r="C54" s="6">
        <v>11</v>
      </c>
      <c r="E54" s="6" t="s">
        <v>112</v>
      </c>
      <c r="F54" s="6">
        <v>1</v>
      </c>
      <c r="H54" s="22"/>
      <c r="I54" s="22"/>
    </row>
    <row r="55" spans="2:9" ht="19.95" customHeight="1" x14ac:dyDescent="0.25">
      <c r="B55" s="6" t="s">
        <v>112</v>
      </c>
      <c r="C55" s="6">
        <v>11</v>
      </c>
      <c r="E55" s="6" t="s">
        <v>91</v>
      </c>
      <c r="F55" s="6">
        <v>1</v>
      </c>
      <c r="H55" s="22"/>
      <c r="I55" s="22"/>
    </row>
    <row r="56" spans="2:9" ht="19.95" customHeight="1" x14ac:dyDescent="0.25">
      <c r="B56" s="6" t="s">
        <v>92</v>
      </c>
      <c r="C56" s="6">
        <v>10</v>
      </c>
      <c r="E56" s="6" t="s">
        <v>156</v>
      </c>
      <c r="F56" s="6">
        <v>1</v>
      </c>
      <c r="H56" s="22"/>
      <c r="I56" s="22"/>
    </row>
    <row r="57" spans="2:9" ht="19.95" customHeight="1" x14ac:dyDescent="0.25">
      <c r="B57" s="6" t="s">
        <v>122</v>
      </c>
      <c r="C57" s="6">
        <v>10</v>
      </c>
      <c r="E57" s="6" t="s">
        <v>126</v>
      </c>
      <c r="F57" s="6">
        <v>1</v>
      </c>
      <c r="H57" s="22"/>
      <c r="I57" s="22"/>
    </row>
    <row r="58" spans="2:9" ht="19.95" customHeight="1" x14ac:dyDescent="0.25">
      <c r="B58" s="6" t="s">
        <v>78</v>
      </c>
      <c r="C58" s="6">
        <v>10</v>
      </c>
      <c r="E58" s="6" t="s">
        <v>152</v>
      </c>
      <c r="F58" s="6">
        <v>1</v>
      </c>
      <c r="H58" s="22"/>
      <c r="I58" s="22"/>
    </row>
    <row r="59" spans="2:9" ht="19.95" customHeight="1" x14ac:dyDescent="0.25">
      <c r="B59" s="6" t="s">
        <v>157</v>
      </c>
      <c r="C59" s="6">
        <v>10</v>
      </c>
      <c r="E59" s="6" t="s">
        <v>128</v>
      </c>
      <c r="F59" s="6">
        <v>1</v>
      </c>
      <c r="H59" s="22"/>
      <c r="I59" s="22"/>
    </row>
    <row r="60" spans="2:9" ht="19.95" customHeight="1" x14ac:dyDescent="0.25">
      <c r="B60" s="6" t="s">
        <v>158</v>
      </c>
      <c r="C60" s="6">
        <v>9</v>
      </c>
      <c r="E60" s="6" t="s">
        <v>94</v>
      </c>
      <c r="F60" s="6">
        <v>1</v>
      </c>
    </row>
    <row r="61" spans="2:9" ht="19.95" customHeight="1" x14ac:dyDescent="0.25">
      <c r="B61" s="6" t="s">
        <v>150</v>
      </c>
      <c r="C61" s="6">
        <v>9</v>
      </c>
      <c r="E61" s="6" t="s">
        <v>88</v>
      </c>
      <c r="F61" s="6">
        <v>1</v>
      </c>
    </row>
    <row r="62" spans="2:9" ht="19.95" customHeight="1" x14ac:dyDescent="0.25">
      <c r="B62" s="6" t="s">
        <v>159</v>
      </c>
      <c r="C62" s="6">
        <v>9</v>
      </c>
      <c r="E62" s="6" t="s">
        <v>132</v>
      </c>
      <c r="F62" s="6">
        <v>1</v>
      </c>
    </row>
    <row r="63" spans="2:9" ht="19.95" customHeight="1" x14ac:dyDescent="0.25">
      <c r="B63" s="6" t="s">
        <v>128</v>
      </c>
      <c r="C63" s="6">
        <v>9</v>
      </c>
      <c r="E63" s="6" t="s">
        <v>160</v>
      </c>
      <c r="F63" s="6">
        <v>1</v>
      </c>
    </row>
    <row r="64" spans="2:9" ht="19.95" customHeight="1" x14ac:dyDescent="0.25">
      <c r="B64" s="6" t="s">
        <v>151</v>
      </c>
      <c r="C64" s="6">
        <v>9</v>
      </c>
      <c r="E64" s="6" t="s">
        <v>161</v>
      </c>
      <c r="F64" s="6">
        <v>1</v>
      </c>
    </row>
    <row r="65" spans="2:6" ht="19.95" customHeight="1" x14ac:dyDescent="0.25">
      <c r="B65" s="6" t="s">
        <v>152</v>
      </c>
      <c r="C65" s="6">
        <v>8</v>
      </c>
      <c r="E65" s="6" t="s">
        <v>162</v>
      </c>
      <c r="F65" s="6">
        <v>1</v>
      </c>
    </row>
    <row r="66" spans="2:6" ht="19.95" customHeight="1" x14ac:dyDescent="0.25">
      <c r="B66" s="6" t="s">
        <v>163</v>
      </c>
      <c r="C66" s="6">
        <v>8</v>
      </c>
      <c r="E66" s="22"/>
      <c r="F66" s="22"/>
    </row>
    <row r="67" spans="2:6" ht="19.95" customHeight="1" x14ac:dyDescent="0.25">
      <c r="B67" s="6" t="s">
        <v>129</v>
      </c>
      <c r="C67" s="6">
        <v>8</v>
      </c>
      <c r="E67" s="22"/>
      <c r="F67" s="22"/>
    </row>
    <row r="68" spans="2:6" ht="19.95" customHeight="1" x14ac:dyDescent="0.25">
      <c r="B68" s="6" t="s">
        <v>156</v>
      </c>
      <c r="C68" s="6">
        <v>7</v>
      </c>
      <c r="E68" s="22"/>
      <c r="F68" s="22"/>
    </row>
    <row r="69" spans="2:6" ht="19.95" customHeight="1" x14ac:dyDescent="0.25">
      <c r="B69" s="6" t="s">
        <v>154</v>
      </c>
      <c r="C69" s="6">
        <v>7</v>
      </c>
      <c r="E69" s="22"/>
      <c r="F69" s="22"/>
    </row>
    <row r="70" spans="2:6" ht="19.95" customHeight="1" x14ac:dyDescent="0.25">
      <c r="B70" s="6" t="s">
        <v>137</v>
      </c>
      <c r="C70" s="6">
        <v>7</v>
      </c>
      <c r="E70" s="22"/>
      <c r="F70" s="22"/>
    </row>
    <row r="71" spans="2:6" ht="19.95" customHeight="1" x14ac:dyDescent="0.25">
      <c r="B71" s="6" t="s">
        <v>154</v>
      </c>
      <c r="C71" s="6">
        <v>7</v>
      </c>
      <c r="E71" s="22"/>
      <c r="F71" s="22"/>
    </row>
    <row r="72" spans="2:6" ht="19.95" customHeight="1" x14ac:dyDescent="0.25">
      <c r="B72" s="6" t="s">
        <v>149</v>
      </c>
      <c r="C72" s="6">
        <v>7</v>
      </c>
      <c r="E72" s="22"/>
      <c r="F72" s="22"/>
    </row>
    <row r="73" spans="2:6" ht="19.95" customHeight="1" x14ac:dyDescent="0.25">
      <c r="B73" s="6" t="s">
        <v>103</v>
      </c>
      <c r="C73" s="6">
        <v>6</v>
      </c>
      <c r="E73" s="22"/>
      <c r="F73" s="22"/>
    </row>
    <row r="74" spans="2:6" ht="19.95" customHeight="1" x14ac:dyDescent="0.25">
      <c r="B74" s="6" t="s">
        <v>164</v>
      </c>
      <c r="C74" s="6">
        <v>6</v>
      </c>
      <c r="E74" s="22"/>
      <c r="F74" s="22"/>
    </row>
    <row r="75" spans="2:6" ht="19.95" customHeight="1" x14ac:dyDescent="0.25">
      <c r="B75" s="6" t="s">
        <v>145</v>
      </c>
      <c r="C75" s="6">
        <v>6</v>
      </c>
      <c r="E75" s="22"/>
      <c r="F75" s="22"/>
    </row>
    <row r="76" spans="2:6" ht="19.95" customHeight="1" x14ac:dyDescent="0.25">
      <c r="B76" s="6" t="s">
        <v>147</v>
      </c>
      <c r="C76" s="6">
        <v>5</v>
      </c>
      <c r="E76" s="22"/>
      <c r="F76" s="22"/>
    </row>
    <row r="77" spans="2:6" ht="19.95" customHeight="1" x14ac:dyDescent="0.25">
      <c r="B77" s="6" t="s">
        <v>133</v>
      </c>
      <c r="C77" s="6">
        <v>5</v>
      </c>
      <c r="E77" s="22"/>
      <c r="F77" s="22"/>
    </row>
    <row r="78" spans="2:6" x14ac:dyDescent="0.25">
      <c r="B78" s="6" t="s">
        <v>165</v>
      </c>
      <c r="C78" s="6">
        <v>5</v>
      </c>
    </row>
    <row r="79" spans="2:6" x14ac:dyDescent="0.25">
      <c r="B79" s="6" t="s">
        <v>106</v>
      </c>
      <c r="C79" s="6">
        <v>5</v>
      </c>
    </row>
    <row r="80" spans="2:6" x14ac:dyDescent="0.25">
      <c r="B80" s="6" t="s">
        <v>156</v>
      </c>
      <c r="C80" s="6">
        <v>5</v>
      </c>
    </row>
    <row r="81" spans="2:3" x14ac:dyDescent="0.25">
      <c r="B81" s="6" t="s">
        <v>152</v>
      </c>
      <c r="C81" s="6">
        <v>5</v>
      </c>
    </row>
    <row r="82" spans="2:3" x14ac:dyDescent="0.25">
      <c r="B82" s="6" t="s">
        <v>165</v>
      </c>
      <c r="C82" s="6">
        <v>5</v>
      </c>
    </row>
    <row r="83" spans="2:3" x14ac:dyDescent="0.25">
      <c r="B83" s="6" t="s">
        <v>166</v>
      </c>
      <c r="C83" s="6">
        <v>4</v>
      </c>
    </row>
    <row r="84" spans="2:3" x14ac:dyDescent="0.25">
      <c r="B84" s="6" t="s">
        <v>160</v>
      </c>
      <c r="C84" s="6">
        <v>4</v>
      </c>
    </row>
    <row r="85" spans="2:3" x14ac:dyDescent="0.25">
      <c r="B85" s="6" t="s">
        <v>155</v>
      </c>
      <c r="C85" s="6">
        <v>4</v>
      </c>
    </row>
    <row r="86" spans="2:3" x14ac:dyDescent="0.25">
      <c r="B86" s="6" t="s">
        <v>116</v>
      </c>
      <c r="C86" s="6">
        <v>4</v>
      </c>
    </row>
    <row r="87" spans="2:3" x14ac:dyDescent="0.25">
      <c r="B87" s="6" t="s">
        <v>126</v>
      </c>
      <c r="C87" s="6">
        <v>4</v>
      </c>
    </row>
    <row r="88" spans="2:3" x14ac:dyDescent="0.25">
      <c r="B88" s="6" t="s">
        <v>133</v>
      </c>
      <c r="C88" s="6">
        <v>4</v>
      </c>
    </row>
    <row r="89" spans="2:3" x14ac:dyDescent="0.25">
      <c r="B89" s="6" t="s">
        <v>121</v>
      </c>
      <c r="C89" s="6">
        <v>4</v>
      </c>
    </row>
    <row r="90" spans="2:3" x14ac:dyDescent="0.25">
      <c r="B90" s="6" t="s">
        <v>103</v>
      </c>
      <c r="C90" s="6">
        <v>3</v>
      </c>
    </row>
    <row r="91" spans="2:3" x14ac:dyDescent="0.25">
      <c r="B91" s="6" t="s">
        <v>147</v>
      </c>
      <c r="C91" s="6">
        <v>3</v>
      </c>
    </row>
    <row r="92" spans="2:3" x14ac:dyDescent="0.25">
      <c r="B92" s="6" t="s">
        <v>130</v>
      </c>
      <c r="C92" s="6">
        <v>3</v>
      </c>
    </row>
    <row r="93" spans="2:3" x14ac:dyDescent="0.25">
      <c r="B93" s="6" t="s">
        <v>159</v>
      </c>
      <c r="C93" s="6">
        <v>3</v>
      </c>
    </row>
    <row r="94" spans="2:3" x14ac:dyDescent="0.25">
      <c r="B94" s="6" t="s">
        <v>132</v>
      </c>
      <c r="C94" s="6">
        <v>3</v>
      </c>
    </row>
    <row r="95" spans="2:3" x14ac:dyDescent="0.25">
      <c r="B95" s="6" t="s">
        <v>163</v>
      </c>
      <c r="C95" s="6">
        <v>3</v>
      </c>
    </row>
    <row r="96" spans="2:3" x14ac:dyDescent="0.25">
      <c r="B96" s="6" t="s">
        <v>150</v>
      </c>
      <c r="C96" s="6">
        <v>2</v>
      </c>
    </row>
    <row r="97" spans="2:3" x14ac:dyDescent="0.25">
      <c r="B97" s="6" t="s">
        <v>166</v>
      </c>
      <c r="C97" s="6">
        <v>2</v>
      </c>
    </row>
    <row r="98" spans="2:3" x14ac:dyDescent="0.25">
      <c r="B98" s="6" t="s">
        <v>135</v>
      </c>
      <c r="C98" s="6">
        <v>2</v>
      </c>
    </row>
    <row r="99" spans="2:3" x14ac:dyDescent="0.25">
      <c r="B99" s="6" t="s">
        <v>137</v>
      </c>
      <c r="C99" s="6">
        <v>2</v>
      </c>
    </row>
    <row r="100" spans="2:3" x14ac:dyDescent="0.25">
      <c r="B100" s="6" t="s">
        <v>160</v>
      </c>
      <c r="C100" s="6">
        <v>2</v>
      </c>
    </row>
    <row r="101" spans="2:3" x14ac:dyDescent="0.25">
      <c r="B101" s="6" t="s">
        <v>157</v>
      </c>
      <c r="C101" s="6">
        <v>1</v>
      </c>
    </row>
    <row r="102" spans="2:3" x14ac:dyDescent="0.25">
      <c r="B102" s="6" t="s">
        <v>167</v>
      </c>
      <c r="C102" s="6">
        <v>1</v>
      </c>
    </row>
    <row r="103" spans="2:3" x14ac:dyDescent="0.25">
      <c r="B103" s="6" t="s">
        <v>158</v>
      </c>
      <c r="C103" s="6">
        <v>1</v>
      </c>
    </row>
    <row r="104" spans="2:3" x14ac:dyDescent="0.25">
      <c r="B104" s="6" t="s">
        <v>168</v>
      </c>
      <c r="C104" s="6">
        <v>1</v>
      </c>
    </row>
    <row r="105" spans="2:3" x14ac:dyDescent="0.25">
      <c r="B105" s="6" t="s">
        <v>153</v>
      </c>
      <c r="C105" s="6">
        <v>1</v>
      </c>
    </row>
    <row r="106" spans="2:3" x14ac:dyDescent="0.25">
      <c r="B106" s="6" t="s">
        <v>167</v>
      </c>
      <c r="C106" s="6">
        <v>1</v>
      </c>
    </row>
    <row r="107" spans="2:3" x14ac:dyDescent="0.25">
      <c r="B107" s="6" t="s">
        <v>86</v>
      </c>
      <c r="C107" s="6">
        <v>1</v>
      </c>
    </row>
  </sheetData>
  <mergeCells count="3">
    <mergeCell ref="B2:C2"/>
    <mergeCell ref="E2:F2"/>
    <mergeCell ref="H2:I2"/>
  </mergeCells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75"/>
  <sheetViews>
    <sheetView showGridLines="0" topLeftCell="G1" workbookViewId="0">
      <selection activeCell="P21" sqref="P21"/>
    </sheetView>
  </sheetViews>
  <sheetFormatPr defaultColWidth="9" defaultRowHeight="14.4" x14ac:dyDescent="0.25"/>
  <cols>
    <col min="1" max="1" width="7.88671875" hidden="1" customWidth="1"/>
    <col min="2" max="2" width="38.88671875" style="22" hidden="1" customWidth="1"/>
    <col min="3" max="3" width="29.21875" style="22" hidden="1" customWidth="1"/>
    <col min="4" max="4" width="9.6640625" hidden="1" customWidth="1"/>
    <col min="5" max="5" width="33.21875" hidden="1" customWidth="1"/>
    <col min="6" max="6" width="22.33203125" hidden="1" customWidth="1"/>
    <col min="7" max="7" width="9.21875" customWidth="1"/>
    <col min="8" max="8" width="42" customWidth="1"/>
    <col min="9" max="9" width="29.44140625" customWidth="1"/>
    <col min="10" max="10" width="9" customWidth="1"/>
    <col min="11" max="11" width="29.6640625" hidden="1" customWidth="1"/>
    <col min="12" max="12" width="22.77734375" hidden="1" customWidth="1"/>
  </cols>
  <sheetData>
    <row r="2" spans="2:15" ht="33" customHeight="1" x14ac:dyDescent="0.25">
      <c r="B2" s="143" t="s">
        <v>169</v>
      </c>
      <c r="C2" s="143"/>
      <c r="D2" s="23"/>
      <c r="E2" s="143" t="s">
        <v>170</v>
      </c>
      <c r="F2" s="143"/>
      <c r="G2" s="23"/>
      <c r="H2" s="143" t="s">
        <v>171</v>
      </c>
      <c r="I2" s="143"/>
      <c r="J2" s="23"/>
      <c r="K2" s="142" t="s">
        <v>172</v>
      </c>
      <c r="L2" s="142"/>
    </row>
    <row r="3" spans="2:15" ht="21" customHeight="1" x14ac:dyDescent="0.25">
      <c r="B3" s="24" t="s">
        <v>173</v>
      </c>
      <c r="C3" s="24" t="s">
        <v>174</v>
      </c>
      <c r="D3" s="23"/>
      <c r="E3" s="24" t="s">
        <v>173</v>
      </c>
      <c r="F3" s="24" t="s">
        <v>175</v>
      </c>
      <c r="G3" s="23"/>
      <c r="H3" s="24" t="s">
        <v>173</v>
      </c>
      <c r="I3" s="24" t="s">
        <v>175</v>
      </c>
      <c r="J3" s="23"/>
      <c r="K3" s="24" t="s">
        <v>173</v>
      </c>
      <c r="L3" s="24" t="s">
        <v>175</v>
      </c>
    </row>
    <row r="4" spans="2:15" ht="19.95" customHeight="1" x14ac:dyDescent="0.25">
      <c r="B4" s="25" t="s">
        <v>76</v>
      </c>
      <c r="C4" s="25">
        <v>2025</v>
      </c>
      <c r="E4" s="25" t="s">
        <v>76</v>
      </c>
      <c r="F4" s="25">
        <v>1865</v>
      </c>
      <c r="H4" s="25" t="s">
        <v>76</v>
      </c>
      <c r="I4" s="25">
        <v>0</v>
      </c>
      <c r="K4" s="25" t="s">
        <v>76</v>
      </c>
      <c r="L4" s="25">
        <v>2696</v>
      </c>
      <c r="O4" s="29"/>
    </row>
    <row r="5" spans="2:15" ht="19.95" customHeight="1" x14ac:dyDescent="0.25">
      <c r="B5" s="5" t="s">
        <v>176</v>
      </c>
      <c r="C5" s="7">
        <v>197</v>
      </c>
      <c r="E5" s="5" t="s">
        <v>177</v>
      </c>
      <c r="F5" s="7">
        <v>170</v>
      </c>
      <c r="H5" s="5"/>
      <c r="I5" s="7"/>
      <c r="K5" s="5" t="s">
        <v>178</v>
      </c>
      <c r="L5" s="7">
        <v>270</v>
      </c>
    </row>
    <row r="6" spans="2:15" ht="19.95" customHeight="1" x14ac:dyDescent="0.25">
      <c r="B6" s="5" t="s">
        <v>179</v>
      </c>
      <c r="C6" s="7">
        <v>145</v>
      </c>
      <c r="E6" s="5" t="s">
        <v>180</v>
      </c>
      <c r="F6" s="7">
        <v>139</v>
      </c>
      <c r="H6" s="5"/>
      <c r="I6" s="7"/>
      <c r="K6" s="5" t="s">
        <v>181</v>
      </c>
      <c r="L6" s="7">
        <v>238</v>
      </c>
    </row>
    <row r="7" spans="2:15" ht="19.95" customHeight="1" x14ac:dyDescent="0.25">
      <c r="B7" s="5" t="s">
        <v>182</v>
      </c>
      <c r="C7" s="7">
        <v>131</v>
      </c>
      <c r="E7" s="5" t="s">
        <v>183</v>
      </c>
      <c r="F7" s="7">
        <v>117</v>
      </c>
      <c r="H7" s="5"/>
      <c r="I7" s="7"/>
      <c r="K7" s="5" t="s">
        <v>184</v>
      </c>
      <c r="L7" s="7">
        <v>175</v>
      </c>
      <c r="O7" s="29"/>
    </row>
    <row r="8" spans="2:15" ht="19.95" customHeight="1" x14ac:dyDescent="0.25">
      <c r="B8" s="13" t="s">
        <v>185</v>
      </c>
      <c r="C8" s="13">
        <v>113</v>
      </c>
      <c r="E8" s="13" t="s">
        <v>186</v>
      </c>
      <c r="F8" s="13">
        <v>94</v>
      </c>
      <c r="H8" s="13"/>
      <c r="I8" s="13"/>
      <c r="K8" s="5" t="s">
        <v>187</v>
      </c>
      <c r="L8" s="7">
        <v>173</v>
      </c>
    </row>
    <row r="9" spans="2:15" ht="19.95" customHeight="1" x14ac:dyDescent="0.25">
      <c r="B9" s="13" t="s">
        <v>188</v>
      </c>
      <c r="C9" s="13">
        <v>111</v>
      </c>
      <c r="E9" s="13" t="s">
        <v>189</v>
      </c>
      <c r="F9" s="13">
        <v>80</v>
      </c>
      <c r="H9" s="13"/>
      <c r="I9" s="13"/>
      <c r="K9" s="5" t="s">
        <v>190</v>
      </c>
      <c r="L9" s="7">
        <v>156</v>
      </c>
    </row>
    <row r="10" spans="2:15" ht="19.95" customHeight="1" x14ac:dyDescent="0.25">
      <c r="B10" s="13" t="s">
        <v>191</v>
      </c>
      <c r="C10" s="13">
        <v>108</v>
      </c>
      <c r="E10" s="13" t="s">
        <v>192</v>
      </c>
      <c r="F10" s="13">
        <v>79</v>
      </c>
      <c r="H10" s="13"/>
      <c r="I10" s="13"/>
      <c r="K10" s="13" t="s">
        <v>193</v>
      </c>
      <c r="L10" s="13">
        <v>147</v>
      </c>
    </row>
    <row r="11" spans="2:15" ht="19.95" customHeight="1" x14ac:dyDescent="0.25">
      <c r="B11" s="13" t="s">
        <v>194</v>
      </c>
      <c r="C11" s="13">
        <v>104</v>
      </c>
      <c r="E11" s="13" t="s">
        <v>195</v>
      </c>
      <c r="F11" s="13">
        <v>78</v>
      </c>
      <c r="H11" s="13"/>
      <c r="I11" s="13"/>
      <c r="K11" s="13" t="s">
        <v>196</v>
      </c>
      <c r="L11" s="13">
        <v>122</v>
      </c>
    </row>
    <row r="12" spans="2:15" ht="19.95" customHeight="1" x14ac:dyDescent="0.25">
      <c r="B12" s="13" t="s">
        <v>197</v>
      </c>
      <c r="C12" s="13">
        <v>97</v>
      </c>
      <c r="E12" s="13" t="s">
        <v>198</v>
      </c>
      <c r="F12" s="13">
        <v>71</v>
      </c>
      <c r="H12" s="13"/>
      <c r="I12" s="13"/>
      <c r="K12" s="13" t="s">
        <v>199</v>
      </c>
      <c r="L12" s="13">
        <v>105</v>
      </c>
    </row>
    <row r="13" spans="2:15" ht="19.95" customHeight="1" x14ac:dyDescent="0.25">
      <c r="B13" s="13" t="s">
        <v>200</v>
      </c>
      <c r="C13" s="13">
        <v>94</v>
      </c>
      <c r="E13" s="13" t="s">
        <v>201</v>
      </c>
      <c r="F13" s="13">
        <v>67</v>
      </c>
      <c r="H13" s="13"/>
      <c r="I13" s="13"/>
      <c r="K13" s="13" t="s">
        <v>202</v>
      </c>
      <c r="L13" s="13">
        <v>101</v>
      </c>
    </row>
    <row r="14" spans="2:15" ht="19.95" customHeight="1" x14ac:dyDescent="0.25">
      <c r="B14" s="13" t="s">
        <v>203</v>
      </c>
      <c r="C14" s="13">
        <v>84</v>
      </c>
      <c r="E14" s="13" t="s">
        <v>204</v>
      </c>
      <c r="F14" s="13">
        <v>67</v>
      </c>
      <c r="H14" s="13"/>
      <c r="I14" s="13"/>
      <c r="K14" s="13" t="s">
        <v>205</v>
      </c>
      <c r="L14" s="13">
        <v>92</v>
      </c>
      <c r="M14" s="30"/>
    </row>
    <row r="15" spans="2:15" ht="19.95" customHeight="1" x14ac:dyDescent="0.25">
      <c r="B15" s="13" t="s">
        <v>206</v>
      </c>
      <c r="C15" s="13">
        <v>82</v>
      </c>
      <c r="E15" s="13" t="s">
        <v>207</v>
      </c>
      <c r="F15" s="13">
        <v>58</v>
      </c>
      <c r="H15" s="13"/>
      <c r="I15" s="13"/>
      <c r="K15" s="13" t="s">
        <v>208</v>
      </c>
      <c r="L15" s="13">
        <v>85</v>
      </c>
    </row>
    <row r="16" spans="2:15" ht="19.95" customHeight="1" x14ac:dyDescent="0.25">
      <c r="B16" s="13" t="s">
        <v>209</v>
      </c>
      <c r="C16" s="13">
        <v>81</v>
      </c>
      <c r="E16" s="13" t="s">
        <v>210</v>
      </c>
      <c r="F16" s="13">
        <v>53</v>
      </c>
      <c r="H16" s="13"/>
      <c r="I16" s="13"/>
      <c r="K16" s="13" t="s">
        <v>211</v>
      </c>
      <c r="L16" s="13">
        <v>84</v>
      </c>
    </row>
    <row r="17" spans="2:12" ht="19.95" customHeight="1" x14ac:dyDescent="0.25">
      <c r="B17" s="13" t="s">
        <v>212</v>
      </c>
      <c r="C17" s="13">
        <v>74</v>
      </c>
      <c r="E17" s="13" t="s">
        <v>213</v>
      </c>
      <c r="F17" s="13">
        <v>50</v>
      </c>
      <c r="H17" s="13"/>
      <c r="I17" s="13"/>
      <c r="K17" s="13" t="s">
        <v>214</v>
      </c>
      <c r="L17" s="13">
        <v>84</v>
      </c>
    </row>
    <row r="18" spans="2:12" ht="19.95" customHeight="1" x14ac:dyDescent="0.25">
      <c r="B18" s="13" t="s">
        <v>215</v>
      </c>
      <c r="C18" s="13">
        <v>68</v>
      </c>
      <c r="E18" s="13" t="s">
        <v>216</v>
      </c>
      <c r="F18" s="13">
        <v>46</v>
      </c>
      <c r="H18" s="13"/>
      <c r="I18" s="13"/>
      <c r="K18" s="13" t="s">
        <v>217</v>
      </c>
      <c r="L18" s="13">
        <v>80</v>
      </c>
    </row>
    <row r="19" spans="2:12" ht="19.95" customHeight="1" x14ac:dyDescent="0.25">
      <c r="B19" s="13" t="s">
        <v>218</v>
      </c>
      <c r="C19" s="13">
        <v>67</v>
      </c>
      <c r="E19" s="13" t="s">
        <v>209</v>
      </c>
      <c r="F19" s="13">
        <v>44</v>
      </c>
      <c r="H19" s="13"/>
      <c r="I19" s="13"/>
      <c r="K19" s="13" t="s">
        <v>219</v>
      </c>
      <c r="L19" s="13">
        <v>70</v>
      </c>
    </row>
    <row r="20" spans="2:12" ht="19.95" customHeight="1" x14ac:dyDescent="0.25">
      <c r="B20" s="13" t="s">
        <v>220</v>
      </c>
      <c r="C20" s="13">
        <v>63</v>
      </c>
      <c r="E20" s="13" t="s">
        <v>221</v>
      </c>
      <c r="F20" s="13">
        <v>41</v>
      </c>
      <c r="H20" s="13"/>
      <c r="I20" s="13"/>
      <c r="K20" s="13" t="s">
        <v>222</v>
      </c>
      <c r="L20" s="13">
        <v>58</v>
      </c>
    </row>
    <row r="21" spans="2:12" ht="19.95" customHeight="1" x14ac:dyDescent="0.25">
      <c r="B21" s="13" t="s">
        <v>223</v>
      </c>
      <c r="C21" s="13">
        <v>50</v>
      </c>
      <c r="E21" s="13" t="s">
        <v>224</v>
      </c>
      <c r="F21" s="13">
        <v>40</v>
      </c>
      <c r="H21" s="13"/>
      <c r="I21" s="13"/>
      <c r="K21" s="13" t="s">
        <v>225</v>
      </c>
      <c r="L21" s="13">
        <v>54</v>
      </c>
    </row>
    <row r="22" spans="2:12" ht="19.95" customHeight="1" x14ac:dyDescent="0.25">
      <c r="B22" s="13" t="s">
        <v>226</v>
      </c>
      <c r="C22" s="13">
        <v>46</v>
      </c>
      <c r="E22" s="13" t="s">
        <v>227</v>
      </c>
      <c r="F22" s="13">
        <v>40</v>
      </c>
      <c r="H22" s="13"/>
      <c r="I22" s="13"/>
      <c r="K22" s="13" t="s">
        <v>209</v>
      </c>
      <c r="L22" s="13">
        <v>50</v>
      </c>
    </row>
    <row r="23" spans="2:12" ht="19.95" customHeight="1" x14ac:dyDescent="0.25">
      <c r="B23" s="13" t="s">
        <v>228</v>
      </c>
      <c r="C23" s="13">
        <v>40</v>
      </c>
      <c r="E23" s="13" t="s">
        <v>229</v>
      </c>
      <c r="F23" s="13">
        <v>38</v>
      </c>
      <c r="H23" s="13"/>
      <c r="I23" s="13"/>
      <c r="K23" s="13" t="s">
        <v>230</v>
      </c>
      <c r="L23" s="13">
        <v>50</v>
      </c>
    </row>
    <row r="24" spans="2:12" ht="19.95" customHeight="1" x14ac:dyDescent="0.25">
      <c r="B24" s="13" t="s">
        <v>231</v>
      </c>
      <c r="C24" s="13">
        <v>39</v>
      </c>
      <c r="E24" s="13" t="s">
        <v>232</v>
      </c>
      <c r="F24" s="13">
        <v>35</v>
      </c>
      <c r="H24" s="13"/>
      <c r="I24" s="13"/>
      <c r="K24" s="13" t="s">
        <v>233</v>
      </c>
      <c r="L24" s="13">
        <v>50</v>
      </c>
    </row>
    <row r="25" spans="2:12" ht="19.95" customHeight="1" x14ac:dyDescent="0.25">
      <c r="B25" s="13" t="s">
        <v>234</v>
      </c>
      <c r="C25" s="13">
        <v>19</v>
      </c>
      <c r="E25" s="13" t="s">
        <v>235</v>
      </c>
      <c r="F25" s="13">
        <v>33</v>
      </c>
      <c r="H25" s="13"/>
      <c r="I25" s="13"/>
      <c r="K25" s="13" t="s">
        <v>236</v>
      </c>
      <c r="L25" s="13">
        <v>47</v>
      </c>
    </row>
    <row r="26" spans="2:12" ht="19.95" customHeight="1" x14ac:dyDescent="0.25">
      <c r="B26" s="13" t="s">
        <v>237</v>
      </c>
      <c r="C26" s="13">
        <v>17</v>
      </c>
      <c r="E26" s="13" t="s">
        <v>238</v>
      </c>
      <c r="F26" s="13">
        <v>32</v>
      </c>
      <c r="H26" s="13"/>
      <c r="I26" s="13"/>
      <c r="K26" s="13" t="s">
        <v>239</v>
      </c>
      <c r="L26" s="13">
        <v>44</v>
      </c>
    </row>
    <row r="27" spans="2:12" ht="19.95" customHeight="1" x14ac:dyDescent="0.25">
      <c r="B27" s="13" t="s">
        <v>240</v>
      </c>
      <c r="C27" s="13">
        <v>16</v>
      </c>
      <c r="E27" s="13" t="s">
        <v>241</v>
      </c>
      <c r="F27" s="13">
        <v>32</v>
      </c>
      <c r="H27" s="13"/>
      <c r="I27" s="13"/>
      <c r="K27" s="13" t="s">
        <v>242</v>
      </c>
      <c r="L27" s="13">
        <v>43</v>
      </c>
    </row>
    <row r="28" spans="2:12" ht="19.95" customHeight="1" x14ac:dyDescent="0.25">
      <c r="B28" s="13" t="s">
        <v>243</v>
      </c>
      <c r="C28" s="13">
        <v>15</v>
      </c>
      <c r="E28" s="13" t="s">
        <v>244</v>
      </c>
      <c r="F28" s="13">
        <v>31</v>
      </c>
      <c r="H28" s="13"/>
      <c r="I28" s="13"/>
      <c r="K28" s="13" t="s">
        <v>245</v>
      </c>
      <c r="L28" s="13">
        <v>43</v>
      </c>
    </row>
    <row r="29" spans="2:12" ht="19.95" customHeight="1" x14ac:dyDescent="0.25">
      <c r="B29" s="13" t="s">
        <v>246</v>
      </c>
      <c r="C29" s="13">
        <v>11</v>
      </c>
      <c r="E29" s="13" t="s">
        <v>247</v>
      </c>
      <c r="F29" s="13">
        <v>31</v>
      </c>
      <c r="H29" s="13"/>
      <c r="I29" s="13"/>
      <c r="K29" s="13" t="s">
        <v>248</v>
      </c>
      <c r="L29" s="13">
        <v>41</v>
      </c>
    </row>
    <row r="30" spans="2:12" ht="19.95" customHeight="1" x14ac:dyDescent="0.25">
      <c r="B30" s="13" t="s">
        <v>249</v>
      </c>
      <c r="C30" s="13">
        <v>11</v>
      </c>
      <c r="E30" s="13" t="s">
        <v>250</v>
      </c>
      <c r="F30" s="13">
        <v>31</v>
      </c>
      <c r="H30" s="13"/>
      <c r="I30" s="13"/>
      <c r="K30" s="13" t="s">
        <v>251</v>
      </c>
      <c r="L30" s="13">
        <v>40</v>
      </c>
    </row>
    <row r="31" spans="2:12" ht="19.95" customHeight="1" x14ac:dyDescent="0.25">
      <c r="B31" s="13" t="s">
        <v>252</v>
      </c>
      <c r="C31" s="13">
        <v>10</v>
      </c>
      <c r="E31" s="13" t="s">
        <v>253</v>
      </c>
      <c r="F31" s="13">
        <v>29</v>
      </c>
      <c r="H31" s="13"/>
      <c r="I31" s="13"/>
      <c r="K31" s="13" t="s">
        <v>254</v>
      </c>
      <c r="L31" s="13">
        <v>35</v>
      </c>
    </row>
    <row r="32" spans="2:12" ht="19.95" customHeight="1" x14ac:dyDescent="0.25">
      <c r="B32" s="13" t="s">
        <v>255</v>
      </c>
      <c r="C32" s="13">
        <v>10</v>
      </c>
      <c r="E32" s="13" t="s">
        <v>256</v>
      </c>
      <c r="F32" s="13">
        <v>28</v>
      </c>
      <c r="H32" s="13"/>
      <c r="I32" s="13"/>
      <c r="K32" s="13" t="s">
        <v>257</v>
      </c>
      <c r="L32" s="13">
        <v>31</v>
      </c>
    </row>
    <row r="33" spans="2:12" ht="19.95" customHeight="1" x14ac:dyDescent="0.25">
      <c r="B33" s="13" t="s">
        <v>258</v>
      </c>
      <c r="C33" s="13">
        <v>9</v>
      </c>
      <c r="E33" s="13" t="s">
        <v>259</v>
      </c>
      <c r="F33" s="13">
        <v>27</v>
      </c>
      <c r="H33" s="13"/>
      <c r="I33" s="13"/>
      <c r="K33" s="13" t="s">
        <v>260</v>
      </c>
      <c r="L33" s="13">
        <v>29</v>
      </c>
    </row>
    <row r="34" spans="2:12" ht="19.95" customHeight="1" x14ac:dyDescent="0.25">
      <c r="B34" s="13" t="s">
        <v>261</v>
      </c>
      <c r="C34" s="13">
        <v>8</v>
      </c>
      <c r="E34" s="13" t="s">
        <v>262</v>
      </c>
      <c r="F34" s="13">
        <v>23</v>
      </c>
      <c r="H34" s="13"/>
      <c r="I34" s="13"/>
      <c r="K34" s="13" t="s">
        <v>263</v>
      </c>
      <c r="L34" s="13">
        <v>28</v>
      </c>
    </row>
    <row r="35" spans="2:12" ht="19.95" customHeight="1" x14ac:dyDescent="0.25">
      <c r="B35" s="13" t="s">
        <v>264</v>
      </c>
      <c r="C35" s="13">
        <v>8</v>
      </c>
      <c r="E35" s="13" t="s">
        <v>265</v>
      </c>
      <c r="F35" s="13">
        <v>22</v>
      </c>
      <c r="H35" s="13"/>
      <c r="I35" s="13"/>
      <c r="K35" s="13" t="s">
        <v>266</v>
      </c>
      <c r="L35" s="13">
        <v>27</v>
      </c>
    </row>
    <row r="36" spans="2:12" ht="19.95" customHeight="1" x14ac:dyDescent="0.25">
      <c r="B36" s="13" t="s">
        <v>267</v>
      </c>
      <c r="C36" s="13">
        <v>7</v>
      </c>
      <c r="E36" s="13" t="s">
        <v>268</v>
      </c>
      <c r="F36" s="13">
        <v>22</v>
      </c>
      <c r="H36" s="13"/>
      <c r="I36" s="13"/>
      <c r="K36" s="13" t="s">
        <v>269</v>
      </c>
      <c r="L36" s="13">
        <v>26</v>
      </c>
    </row>
    <row r="37" spans="2:12" ht="19.95" customHeight="1" x14ac:dyDescent="0.25">
      <c r="B37" s="13" t="s">
        <v>270</v>
      </c>
      <c r="C37" s="13">
        <v>7</v>
      </c>
      <c r="E37" s="13" t="s">
        <v>271</v>
      </c>
      <c r="F37" s="13">
        <v>21</v>
      </c>
      <c r="H37" s="13"/>
      <c r="I37" s="13"/>
      <c r="K37" s="13" t="s">
        <v>272</v>
      </c>
      <c r="L37" s="13">
        <v>12</v>
      </c>
    </row>
    <row r="38" spans="2:12" ht="19.95" customHeight="1" x14ac:dyDescent="0.25">
      <c r="B38" s="13" t="s">
        <v>273</v>
      </c>
      <c r="C38" s="13">
        <v>7</v>
      </c>
      <c r="E38" s="13" t="s">
        <v>274</v>
      </c>
      <c r="F38" s="13">
        <v>19</v>
      </c>
      <c r="H38" s="13"/>
      <c r="I38" s="13"/>
      <c r="K38" s="13" t="s">
        <v>275</v>
      </c>
      <c r="L38" s="13">
        <v>2</v>
      </c>
    </row>
    <row r="39" spans="2:12" ht="19.95" customHeight="1" x14ac:dyDescent="0.25">
      <c r="B39" s="13" t="s">
        <v>276</v>
      </c>
      <c r="C39" s="13">
        <v>6</v>
      </c>
      <c r="E39" s="13" t="s">
        <v>277</v>
      </c>
      <c r="F39" s="13">
        <v>17</v>
      </c>
      <c r="H39" s="13"/>
      <c r="I39" s="13"/>
      <c r="K39" s="13" t="s">
        <v>278</v>
      </c>
      <c r="L39" s="13">
        <v>2</v>
      </c>
    </row>
    <row r="40" spans="2:12" ht="19.95" customHeight="1" x14ac:dyDescent="0.25">
      <c r="B40" s="13" t="s">
        <v>279</v>
      </c>
      <c r="C40" s="13">
        <v>6</v>
      </c>
      <c r="E40" s="13" t="s">
        <v>280</v>
      </c>
      <c r="F40" s="13">
        <v>16</v>
      </c>
      <c r="H40" s="13"/>
      <c r="I40" s="13"/>
      <c r="K40" s="13" t="s">
        <v>281</v>
      </c>
      <c r="L40" s="13">
        <v>2</v>
      </c>
    </row>
    <row r="41" spans="2:12" ht="19.95" customHeight="1" x14ac:dyDescent="0.25">
      <c r="B41" s="13" t="s">
        <v>282</v>
      </c>
      <c r="C41" s="13">
        <v>6</v>
      </c>
      <c r="D41" s="26"/>
      <c r="E41" s="13" t="s">
        <v>283</v>
      </c>
      <c r="F41" s="13">
        <v>13</v>
      </c>
      <c r="G41" s="26"/>
      <c r="H41" s="13"/>
      <c r="I41" s="13"/>
      <c r="J41" s="26"/>
      <c r="K41" s="9"/>
      <c r="L41" s="9"/>
    </row>
    <row r="42" spans="2:12" ht="19.95" customHeight="1" x14ac:dyDescent="0.25">
      <c r="B42" s="13" t="s">
        <v>284</v>
      </c>
      <c r="C42" s="13">
        <v>4</v>
      </c>
      <c r="D42" s="26"/>
      <c r="E42" s="13" t="s">
        <v>285</v>
      </c>
      <c r="F42" s="13">
        <v>12</v>
      </c>
      <c r="G42" s="26"/>
      <c r="H42" s="13"/>
      <c r="I42" s="13"/>
      <c r="J42" s="26"/>
      <c r="K42" s="9"/>
      <c r="L42" s="9"/>
    </row>
    <row r="43" spans="2:12" ht="19.95" customHeight="1" x14ac:dyDescent="0.25">
      <c r="B43" s="13" t="s">
        <v>286</v>
      </c>
      <c r="C43" s="13">
        <v>4</v>
      </c>
      <c r="D43" s="26"/>
      <c r="E43" s="13" t="s">
        <v>287</v>
      </c>
      <c r="F43" s="13">
        <v>10</v>
      </c>
      <c r="G43" s="26"/>
      <c r="H43" s="13"/>
      <c r="I43" s="13"/>
      <c r="J43" s="26"/>
      <c r="K43" s="9"/>
      <c r="L43" s="9"/>
    </row>
    <row r="44" spans="2:12" ht="19.95" customHeight="1" x14ac:dyDescent="0.25">
      <c r="B44" s="13" t="s">
        <v>288</v>
      </c>
      <c r="C44" s="13">
        <v>4</v>
      </c>
      <c r="D44" s="26"/>
      <c r="E44" s="13" t="s">
        <v>289</v>
      </c>
      <c r="F44" s="13">
        <v>7</v>
      </c>
      <c r="G44" s="26"/>
      <c r="H44" s="13"/>
      <c r="I44" s="13"/>
      <c r="J44" s="26"/>
      <c r="K44" s="9"/>
      <c r="L44" s="9"/>
    </row>
    <row r="45" spans="2:12" ht="19.95" customHeight="1" x14ac:dyDescent="0.25">
      <c r="B45" s="13" t="s">
        <v>290</v>
      </c>
      <c r="C45" s="13">
        <v>3</v>
      </c>
      <c r="D45" s="26"/>
      <c r="E45" s="13" t="s">
        <v>288</v>
      </c>
      <c r="F45" s="13">
        <v>1</v>
      </c>
      <c r="G45" s="26"/>
      <c r="H45" s="13"/>
      <c r="I45" s="13"/>
      <c r="J45" s="26"/>
      <c r="K45" s="26"/>
      <c r="L45" s="26"/>
    </row>
    <row r="46" spans="2:12" ht="19.95" customHeight="1" x14ac:dyDescent="0.25">
      <c r="B46" s="13" t="s">
        <v>291</v>
      </c>
      <c r="C46" s="13">
        <v>3</v>
      </c>
      <c r="D46" s="26"/>
      <c r="E46" s="13" t="s">
        <v>218</v>
      </c>
      <c r="F46" s="13">
        <v>1</v>
      </c>
      <c r="G46" s="26"/>
      <c r="H46" s="13"/>
      <c r="I46" s="13"/>
      <c r="J46" s="26"/>
      <c r="K46" s="26"/>
      <c r="L46" s="26"/>
    </row>
    <row r="47" spans="2:12" ht="19.95" customHeight="1" x14ac:dyDescent="0.25">
      <c r="B47" s="13" t="s">
        <v>292</v>
      </c>
      <c r="C47" s="13">
        <v>3</v>
      </c>
      <c r="D47" s="27"/>
      <c r="E47" s="9"/>
      <c r="F47" s="9"/>
      <c r="G47" s="27"/>
      <c r="H47" s="13"/>
      <c r="I47" s="13"/>
      <c r="J47" s="27"/>
    </row>
    <row r="48" spans="2:12" ht="19.95" customHeight="1" x14ac:dyDescent="0.25">
      <c r="B48" s="13" t="s">
        <v>293</v>
      </c>
      <c r="C48" s="13">
        <v>3</v>
      </c>
      <c r="D48" s="28"/>
      <c r="E48" s="9"/>
      <c r="F48" s="9"/>
      <c r="G48" s="28"/>
      <c r="H48" s="13"/>
      <c r="I48" s="13"/>
      <c r="J48" s="28"/>
    </row>
    <row r="49" spans="2:9" ht="19.95" customHeight="1" x14ac:dyDescent="0.25">
      <c r="B49" s="13" t="s">
        <v>294</v>
      </c>
      <c r="C49" s="13">
        <v>3</v>
      </c>
      <c r="E49" s="9"/>
      <c r="F49" s="9"/>
      <c r="H49" s="13"/>
      <c r="I49" s="13"/>
    </row>
    <row r="50" spans="2:9" ht="19.95" customHeight="1" x14ac:dyDescent="0.25">
      <c r="B50" s="13" t="s">
        <v>295</v>
      </c>
      <c r="C50" s="13">
        <v>3</v>
      </c>
      <c r="E50" s="9"/>
      <c r="F50" s="9"/>
      <c r="H50" s="13"/>
      <c r="I50" s="13"/>
    </row>
    <row r="51" spans="2:9" ht="19.95" customHeight="1" x14ac:dyDescent="0.25">
      <c r="B51" s="13" t="s">
        <v>210</v>
      </c>
      <c r="C51" s="13">
        <v>3</v>
      </c>
      <c r="E51" s="9"/>
      <c r="F51" s="9"/>
      <c r="H51" s="13"/>
      <c r="I51" s="13"/>
    </row>
    <row r="52" spans="2:9" ht="19.95" customHeight="1" x14ac:dyDescent="0.25">
      <c r="B52" s="13" t="s">
        <v>296</v>
      </c>
      <c r="C52" s="13">
        <v>2</v>
      </c>
      <c r="E52" s="9"/>
      <c r="F52" s="9"/>
      <c r="H52" s="13"/>
      <c r="I52" s="13"/>
    </row>
    <row r="53" spans="2:9" ht="19.95" customHeight="1" x14ac:dyDescent="0.25">
      <c r="B53" s="13" t="s">
        <v>289</v>
      </c>
      <c r="C53" s="13">
        <v>2</v>
      </c>
      <c r="H53" s="13"/>
      <c r="I53" s="13"/>
    </row>
    <row r="54" spans="2:9" ht="19.95" customHeight="1" x14ac:dyDescent="0.25">
      <c r="B54" s="13" t="s">
        <v>297</v>
      </c>
      <c r="C54" s="13">
        <v>2</v>
      </c>
      <c r="H54" s="13"/>
      <c r="I54" s="13"/>
    </row>
    <row r="55" spans="2:9" ht="19.95" customHeight="1" x14ac:dyDescent="0.25">
      <c r="B55" s="13" t="s">
        <v>195</v>
      </c>
      <c r="C55" s="13">
        <v>2</v>
      </c>
      <c r="H55" s="13"/>
      <c r="I55" s="13"/>
    </row>
    <row r="56" spans="2:9" ht="19.95" customHeight="1" x14ac:dyDescent="0.25">
      <c r="B56" s="13" t="s">
        <v>298</v>
      </c>
      <c r="C56" s="13">
        <v>1</v>
      </c>
      <c r="H56" s="13"/>
      <c r="I56" s="13"/>
    </row>
    <row r="57" spans="2:9" ht="19.95" customHeight="1" x14ac:dyDescent="0.25">
      <c r="B57" s="13" t="s">
        <v>299</v>
      </c>
      <c r="C57" s="13">
        <v>1</v>
      </c>
      <c r="H57" s="13"/>
      <c r="I57" s="13"/>
    </row>
    <row r="58" spans="2:9" ht="19.95" customHeight="1" x14ac:dyDescent="0.25">
      <c r="B58" s="13" t="s">
        <v>300</v>
      </c>
      <c r="C58" s="13">
        <v>1</v>
      </c>
      <c r="H58" s="13"/>
      <c r="I58" s="13"/>
    </row>
    <row r="59" spans="2:9" ht="19.95" customHeight="1" x14ac:dyDescent="0.25">
      <c r="B59" s="13" t="s">
        <v>301</v>
      </c>
      <c r="C59" s="13">
        <v>1</v>
      </c>
      <c r="H59" s="13"/>
      <c r="I59" s="13"/>
    </row>
    <row r="60" spans="2:9" ht="19.95" customHeight="1" x14ac:dyDescent="0.25">
      <c r="B60" s="13" t="s">
        <v>302</v>
      </c>
      <c r="C60" s="13">
        <v>1</v>
      </c>
      <c r="H60" s="13"/>
      <c r="I60" s="13"/>
    </row>
    <row r="61" spans="2:9" ht="19.95" customHeight="1" x14ac:dyDescent="0.25">
      <c r="B61" s="13" t="s">
        <v>303</v>
      </c>
      <c r="C61" s="13">
        <v>1</v>
      </c>
      <c r="H61" s="13"/>
      <c r="I61" s="13"/>
    </row>
    <row r="62" spans="2:9" ht="19.95" customHeight="1" x14ac:dyDescent="0.25">
      <c r="B62" s="13" t="s">
        <v>304</v>
      </c>
      <c r="C62" s="13">
        <v>1</v>
      </c>
      <c r="H62" s="13"/>
      <c r="I62" s="13"/>
    </row>
    <row r="63" spans="2:9" ht="19.95" customHeight="1" x14ac:dyDescent="0.25">
      <c r="B63" s="13" t="s">
        <v>204</v>
      </c>
      <c r="C63" s="13">
        <v>1</v>
      </c>
      <c r="H63" s="13"/>
      <c r="I63" s="13"/>
    </row>
    <row r="64" spans="2:9" ht="19.95" customHeight="1" x14ac:dyDescent="0.25">
      <c r="B64" s="13" t="s">
        <v>198</v>
      </c>
      <c r="C64" s="13">
        <v>1</v>
      </c>
      <c r="H64" s="13"/>
      <c r="I64" s="13"/>
    </row>
    <row r="65" spans="2:9" ht="19.95" customHeight="1" x14ac:dyDescent="0.25">
      <c r="B65" s="13" t="s">
        <v>229</v>
      </c>
      <c r="C65" s="13">
        <v>1</v>
      </c>
      <c r="H65" s="13"/>
      <c r="I65" s="13"/>
    </row>
    <row r="66" spans="2:9" ht="19.95" customHeight="1" x14ac:dyDescent="0.25">
      <c r="B66" s="13" t="s">
        <v>274</v>
      </c>
      <c r="C66" s="13">
        <v>1</v>
      </c>
      <c r="H66" s="13"/>
      <c r="I66" s="13"/>
    </row>
    <row r="67" spans="2:9" ht="19.95" customHeight="1" x14ac:dyDescent="0.25">
      <c r="B67" s="13" t="s">
        <v>250</v>
      </c>
      <c r="C67" s="13">
        <v>1</v>
      </c>
      <c r="H67" s="13"/>
      <c r="I67" s="13"/>
    </row>
    <row r="68" spans="2:9" ht="19.95" customHeight="1" x14ac:dyDescent="0.25">
      <c r="B68" s="13" t="s">
        <v>192</v>
      </c>
      <c r="C68" s="13">
        <v>1</v>
      </c>
      <c r="H68" s="13"/>
      <c r="I68" s="13"/>
    </row>
    <row r="69" spans="2:9" ht="19.95" customHeight="1" x14ac:dyDescent="0.25">
      <c r="B69" s="13" t="s">
        <v>180</v>
      </c>
      <c r="C69" s="13">
        <v>1</v>
      </c>
      <c r="H69" s="13"/>
      <c r="I69" s="13"/>
    </row>
    <row r="70" spans="2:9" ht="19.95" customHeight="1" x14ac:dyDescent="0.25">
      <c r="B70" s="13" t="s">
        <v>213</v>
      </c>
      <c r="C70" s="13">
        <v>1</v>
      </c>
      <c r="H70" s="13"/>
      <c r="I70" s="13"/>
    </row>
    <row r="71" spans="2:9" ht="19.95" customHeight="1" x14ac:dyDescent="0.25">
      <c r="B71" s="13" t="s">
        <v>186</v>
      </c>
      <c r="C71" s="13">
        <v>1</v>
      </c>
      <c r="H71" s="13"/>
      <c r="I71" s="13"/>
    </row>
    <row r="72" spans="2:9" ht="19.95" customHeight="1" x14ac:dyDescent="0.25">
      <c r="H72" s="13"/>
      <c r="I72" s="13"/>
    </row>
    <row r="73" spans="2:9" ht="19.95" customHeight="1" x14ac:dyDescent="0.25">
      <c r="H73" s="13"/>
      <c r="I73" s="13"/>
    </row>
    <row r="74" spans="2:9" ht="19.95" customHeight="1" x14ac:dyDescent="0.25">
      <c r="H74" s="13"/>
      <c r="I74" s="13"/>
    </row>
    <row r="75" spans="2:9" x14ac:dyDescent="0.25">
      <c r="H75" s="13"/>
      <c r="I75" s="13"/>
    </row>
  </sheetData>
  <mergeCells count="4">
    <mergeCell ref="B2:C2"/>
    <mergeCell ref="E2:F2"/>
    <mergeCell ref="H2:I2"/>
    <mergeCell ref="K2:L2"/>
  </mergeCells>
  <phoneticPr fontId="2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65"/>
  <sheetViews>
    <sheetView showGridLines="0" topLeftCell="A10" workbookViewId="0">
      <selection activeCell="L57" sqref="L57"/>
    </sheetView>
  </sheetViews>
  <sheetFormatPr defaultColWidth="9" defaultRowHeight="14.4" x14ac:dyDescent="0.25"/>
  <cols>
    <col min="1" max="1" width="6.109375" customWidth="1"/>
    <col min="2" max="2" width="35.77734375" customWidth="1"/>
    <col min="3" max="3" width="9" customWidth="1"/>
    <col min="4" max="4" width="15.88671875" customWidth="1"/>
    <col min="5" max="5" width="15.44140625" customWidth="1"/>
    <col min="6" max="6" width="17" customWidth="1"/>
    <col min="7" max="7" width="11.21875" customWidth="1"/>
    <col min="8" max="8" width="26.88671875" customWidth="1"/>
    <col min="9" max="9" width="23.109375" customWidth="1"/>
    <col min="10" max="10" width="14.109375" customWidth="1"/>
    <col min="11" max="11" width="24.77734375" customWidth="1"/>
    <col min="12" max="12" width="21.6640625" customWidth="1"/>
    <col min="13" max="13" width="27.77734375" customWidth="1"/>
    <col min="14" max="14" width="24.21875" customWidth="1"/>
    <col min="15" max="15" width="24.77734375" customWidth="1"/>
    <col min="16" max="16" width="16" customWidth="1"/>
  </cols>
  <sheetData>
    <row r="1" spans="2:12" ht="27" customHeight="1" x14ac:dyDescent="0.25"/>
    <row r="2" spans="2:12" ht="31.95" customHeight="1" x14ac:dyDescent="0.25">
      <c r="B2" s="144" t="s">
        <v>305</v>
      </c>
      <c r="C2" s="144"/>
      <c r="D2" s="144"/>
      <c r="E2" s="144"/>
      <c r="F2" s="144"/>
      <c r="G2" s="144"/>
      <c r="H2" s="144"/>
      <c r="I2" s="144"/>
      <c r="J2" s="14"/>
      <c r="K2" s="142" t="s">
        <v>306</v>
      </c>
      <c r="L2" s="142"/>
    </row>
    <row r="3" spans="2:12" ht="30" customHeight="1" x14ac:dyDescent="0.25">
      <c r="B3" s="3" t="s">
        <v>307</v>
      </c>
      <c r="C3" s="3" t="s">
        <v>308</v>
      </c>
      <c r="D3" s="3" t="s">
        <v>309</v>
      </c>
      <c r="E3" s="3" t="s">
        <v>310</v>
      </c>
      <c r="F3" s="3" t="s">
        <v>311</v>
      </c>
      <c r="G3" s="3" t="s">
        <v>312</v>
      </c>
      <c r="H3" s="3" t="s">
        <v>313</v>
      </c>
      <c r="I3" s="3" t="s">
        <v>76</v>
      </c>
      <c r="K3" s="3" t="s">
        <v>314</v>
      </c>
      <c r="L3" s="12" t="s">
        <v>315</v>
      </c>
    </row>
    <row r="4" spans="2:12" ht="19.95" customHeight="1" x14ac:dyDescent="0.25">
      <c r="B4" s="5" t="s">
        <v>179</v>
      </c>
      <c r="C4" s="6"/>
      <c r="D4" s="6"/>
      <c r="E4" s="6">
        <v>2</v>
      </c>
      <c r="F4" s="6"/>
      <c r="G4" s="6"/>
      <c r="H4" s="6"/>
      <c r="I4" s="7">
        <v>2</v>
      </c>
      <c r="K4" s="13" t="s">
        <v>316</v>
      </c>
      <c r="L4" s="15">
        <v>1</v>
      </c>
    </row>
    <row r="5" spans="2:12" ht="19.95" customHeight="1" x14ac:dyDescent="0.25">
      <c r="B5" s="6" t="s">
        <v>252</v>
      </c>
      <c r="C5" s="6"/>
      <c r="D5" s="6"/>
      <c r="E5" s="6">
        <v>1</v>
      </c>
      <c r="F5" s="6"/>
      <c r="G5" s="6"/>
      <c r="H5" s="6"/>
      <c r="I5" s="6">
        <v>1</v>
      </c>
      <c r="K5" s="13" t="s">
        <v>317</v>
      </c>
      <c r="L5" s="15">
        <v>1</v>
      </c>
    </row>
    <row r="6" spans="2:12" ht="19.95" customHeight="1" x14ac:dyDescent="0.25">
      <c r="B6" s="6" t="s">
        <v>299</v>
      </c>
      <c r="C6" s="6"/>
      <c r="D6" s="6"/>
      <c r="E6" s="6">
        <v>1</v>
      </c>
      <c r="F6" s="6"/>
      <c r="G6" s="6"/>
      <c r="H6" s="6"/>
      <c r="I6" s="6">
        <v>1</v>
      </c>
      <c r="K6" s="13" t="s">
        <v>318</v>
      </c>
      <c r="L6" s="15">
        <v>1</v>
      </c>
    </row>
    <row r="7" spans="2:12" ht="19.95" customHeight="1" x14ac:dyDescent="0.25">
      <c r="B7" s="6" t="s">
        <v>234</v>
      </c>
      <c r="C7" s="6"/>
      <c r="D7" s="6"/>
      <c r="E7" s="6"/>
      <c r="F7" s="6"/>
      <c r="G7" s="6"/>
      <c r="H7" s="6">
        <v>1</v>
      </c>
      <c r="I7" s="6">
        <v>1</v>
      </c>
      <c r="K7" s="3" t="s">
        <v>76</v>
      </c>
      <c r="L7" s="5">
        <v>3</v>
      </c>
    </row>
    <row r="8" spans="2:12" ht="19.95" customHeight="1" x14ac:dyDescent="0.25">
      <c r="B8" s="6" t="s">
        <v>288</v>
      </c>
      <c r="C8" s="6">
        <v>1</v>
      </c>
      <c r="D8" s="6"/>
      <c r="E8" s="6"/>
      <c r="F8" s="6"/>
      <c r="G8" s="6"/>
      <c r="H8" s="6"/>
      <c r="I8" s="6">
        <v>1</v>
      </c>
    </row>
    <row r="9" spans="2:12" ht="19.95" customHeight="1" x14ac:dyDescent="0.25">
      <c r="B9" s="6" t="s">
        <v>319</v>
      </c>
      <c r="C9" s="6"/>
      <c r="D9" s="6"/>
      <c r="E9" s="6">
        <v>1</v>
      </c>
      <c r="F9" s="6"/>
      <c r="G9" s="6"/>
      <c r="H9" s="6"/>
      <c r="I9" s="6">
        <v>1</v>
      </c>
    </row>
    <row r="10" spans="2:12" ht="19.95" customHeight="1" x14ac:dyDescent="0.25">
      <c r="B10" s="6" t="s">
        <v>240</v>
      </c>
      <c r="C10" s="6"/>
      <c r="D10" s="6">
        <v>1</v>
      </c>
      <c r="E10" s="6"/>
      <c r="F10" s="6"/>
      <c r="G10" s="6"/>
      <c r="H10" s="6"/>
      <c r="I10" s="6">
        <v>1</v>
      </c>
    </row>
    <row r="11" spans="2:12" ht="19.95" customHeight="1" x14ac:dyDescent="0.25">
      <c r="B11" s="6" t="s">
        <v>295</v>
      </c>
      <c r="C11" s="6"/>
      <c r="D11" s="6"/>
      <c r="E11" s="6"/>
      <c r="F11" s="6">
        <v>1</v>
      </c>
      <c r="G11" s="6"/>
      <c r="H11" s="6"/>
      <c r="I11" s="6">
        <v>1</v>
      </c>
    </row>
    <row r="12" spans="2:12" ht="19.95" customHeight="1" x14ac:dyDescent="0.25">
      <c r="B12" s="6" t="s">
        <v>209</v>
      </c>
      <c r="C12" s="6"/>
      <c r="D12" s="6"/>
      <c r="E12" s="6"/>
      <c r="F12" s="6"/>
      <c r="G12" s="6">
        <v>1</v>
      </c>
      <c r="H12" s="6"/>
      <c r="I12" s="6">
        <v>1</v>
      </c>
    </row>
    <row r="13" spans="2:12" ht="19.95" customHeight="1" x14ac:dyDescent="0.25">
      <c r="B13" s="3" t="s">
        <v>76</v>
      </c>
      <c r="C13" s="6">
        <v>1</v>
      </c>
      <c r="D13" s="6">
        <v>1</v>
      </c>
      <c r="E13" s="6">
        <v>5</v>
      </c>
      <c r="F13" s="6">
        <v>1</v>
      </c>
      <c r="G13" s="6">
        <v>1</v>
      </c>
      <c r="H13" s="6">
        <v>1</v>
      </c>
      <c r="I13" s="5">
        <v>10</v>
      </c>
    </row>
    <row r="14" spans="2:12" ht="40.049999999999997" customHeight="1" x14ac:dyDescent="0.25"/>
    <row r="15" spans="2:12" ht="36" customHeight="1" x14ac:dyDescent="0.25">
      <c r="B15" s="144" t="s">
        <v>320</v>
      </c>
      <c r="C15" s="144"/>
      <c r="D15" s="144"/>
      <c r="E15" s="144"/>
      <c r="F15" s="144"/>
      <c r="H15" s="142" t="s">
        <v>321</v>
      </c>
      <c r="I15" s="142"/>
    </row>
    <row r="16" spans="2:12" ht="27" customHeight="1" x14ac:dyDescent="0.25">
      <c r="B16" s="3" t="s">
        <v>307</v>
      </c>
      <c r="C16" s="3" t="s">
        <v>322</v>
      </c>
      <c r="D16" s="3" t="s">
        <v>310</v>
      </c>
      <c r="E16" s="3" t="s">
        <v>313</v>
      </c>
      <c r="F16" s="3" t="s">
        <v>76</v>
      </c>
      <c r="H16" s="12" t="s">
        <v>173</v>
      </c>
      <c r="I16" s="12" t="s">
        <v>315</v>
      </c>
    </row>
    <row r="17" spans="2:16" ht="19.95" customHeight="1" x14ac:dyDescent="0.25">
      <c r="B17" s="5" t="s">
        <v>323</v>
      </c>
      <c r="C17" s="6">
        <v>1</v>
      </c>
      <c r="D17" s="6"/>
      <c r="E17" s="6">
        <v>1</v>
      </c>
      <c r="F17" s="7">
        <v>2</v>
      </c>
      <c r="H17" s="13" t="s">
        <v>324</v>
      </c>
      <c r="I17" s="15">
        <v>1</v>
      </c>
    </row>
    <row r="18" spans="2:16" ht="19.95" customHeight="1" x14ac:dyDescent="0.25">
      <c r="B18" s="6" t="s">
        <v>198</v>
      </c>
      <c r="C18" s="6">
        <v>1</v>
      </c>
      <c r="D18" s="6"/>
      <c r="E18" s="6"/>
      <c r="F18" s="6">
        <v>1</v>
      </c>
      <c r="H18" s="3" t="s">
        <v>76</v>
      </c>
      <c r="I18" s="5">
        <v>1</v>
      </c>
    </row>
    <row r="19" spans="2:16" ht="19.95" customHeight="1" x14ac:dyDescent="0.25">
      <c r="B19" s="6" t="s">
        <v>259</v>
      </c>
      <c r="C19" s="6"/>
      <c r="D19" s="6"/>
      <c r="E19" s="6">
        <v>1</v>
      </c>
      <c r="F19" s="6">
        <v>1</v>
      </c>
    </row>
    <row r="20" spans="2:16" ht="19.95" customHeight="1" x14ac:dyDescent="0.25">
      <c r="B20" s="6" t="s">
        <v>213</v>
      </c>
      <c r="C20" s="6"/>
      <c r="D20" s="6">
        <v>1</v>
      </c>
      <c r="E20" s="6"/>
      <c r="F20" s="6">
        <v>1</v>
      </c>
    </row>
    <row r="21" spans="2:16" ht="19.95" customHeight="1" x14ac:dyDescent="0.25">
      <c r="B21" s="6" t="s">
        <v>253</v>
      </c>
      <c r="C21" s="6"/>
      <c r="D21" s="6">
        <v>1</v>
      </c>
      <c r="E21" s="6"/>
      <c r="F21" s="6">
        <v>1</v>
      </c>
    </row>
    <row r="22" spans="2:16" ht="19.95" customHeight="1" x14ac:dyDescent="0.25">
      <c r="B22" s="6" t="s">
        <v>195</v>
      </c>
      <c r="C22" s="6"/>
      <c r="D22" s="6">
        <v>1</v>
      </c>
      <c r="E22" s="6"/>
      <c r="F22" s="6">
        <v>1</v>
      </c>
      <c r="H22" s="9"/>
      <c r="I22" s="16"/>
    </row>
    <row r="23" spans="2:16" ht="19.95" customHeight="1" x14ac:dyDescent="0.25">
      <c r="B23" s="3" t="s">
        <v>76</v>
      </c>
      <c r="C23" s="6">
        <v>2</v>
      </c>
      <c r="D23" s="6">
        <v>3</v>
      </c>
      <c r="E23" s="6">
        <v>2</v>
      </c>
      <c r="F23" s="5">
        <v>7</v>
      </c>
    </row>
    <row r="24" spans="2:16" ht="40.049999999999997" customHeight="1" x14ac:dyDescent="0.25"/>
    <row r="25" spans="2:16" ht="36" customHeight="1" x14ac:dyDescent="0.25">
      <c r="B25" s="142" t="s">
        <v>325</v>
      </c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7"/>
      <c r="O25" s="142" t="s">
        <v>326</v>
      </c>
      <c r="P25" s="142"/>
    </row>
    <row r="26" spans="2:16" ht="31.95" customHeight="1" x14ac:dyDescent="0.25">
      <c r="B26" s="3" t="s">
        <v>307</v>
      </c>
      <c r="C26" s="3" t="s">
        <v>308</v>
      </c>
      <c r="D26" s="3" t="s">
        <v>322</v>
      </c>
      <c r="E26" s="3" t="s">
        <v>309</v>
      </c>
      <c r="F26" s="3" t="s">
        <v>327</v>
      </c>
      <c r="G26" s="3" t="s">
        <v>310</v>
      </c>
      <c r="H26" s="3" t="s">
        <v>311</v>
      </c>
      <c r="I26" s="3" t="s">
        <v>328</v>
      </c>
      <c r="J26" s="3" t="s">
        <v>312</v>
      </c>
      <c r="K26" s="3" t="s">
        <v>329</v>
      </c>
      <c r="L26" s="3" t="s">
        <v>313</v>
      </c>
      <c r="M26" s="3" t="s">
        <v>76</v>
      </c>
      <c r="N26" s="18"/>
      <c r="O26" s="19" t="s">
        <v>330</v>
      </c>
      <c r="P26" s="19" t="s">
        <v>315</v>
      </c>
    </row>
    <row r="27" spans="2:16" ht="19.95" customHeight="1" x14ac:dyDescent="0.25">
      <c r="B27" s="5" t="s">
        <v>331</v>
      </c>
      <c r="C27" s="6"/>
      <c r="D27" s="6"/>
      <c r="E27" s="6"/>
      <c r="F27" s="6"/>
      <c r="G27" s="6">
        <v>2</v>
      </c>
      <c r="H27" s="6"/>
      <c r="I27" s="6"/>
      <c r="J27" s="6"/>
      <c r="K27" s="6">
        <v>1</v>
      </c>
      <c r="L27" s="6"/>
      <c r="M27" s="7">
        <v>3</v>
      </c>
      <c r="N27" s="20"/>
      <c r="O27" s="13" t="s">
        <v>332</v>
      </c>
      <c r="P27" s="15">
        <v>1</v>
      </c>
    </row>
    <row r="28" spans="2:16" ht="19.95" customHeight="1" x14ac:dyDescent="0.25">
      <c r="B28" s="5" t="s">
        <v>209</v>
      </c>
      <c r="C28" s="6"/>
      <c r="D28" s="6">
        <v>1</v>
      </c>
      <c r="E28" s="6">
        <v>1</v>
      </c>
      <c r="F28" s="6"/>
      <c r="G28" s="6"/>
      <c r="H28" s="6"/>
      <c r="I28" s="6">
        <v>1</v>
      </c>
      <c r="J28" s="6"/>
      <c r="K28" s="6"/>
      <c r="L28" s="6"/>
      <c r="M28" s="7">
        <v>3</v>
      </c>
      <c r="N28" s="20"/>
      <c r="O28" s="13" t="s">
        <v>333</v>
      </c>
      <c r="P28" s="15">
        <v>1</v>
      </c>
    </row>
    <row r="29" spans="2:16" ht="19.95" customHeight="1" x14ac:dyDescent="0.25">
      <c r="B29" s="6" t="s">
        <v>334</v>
      </c>
      <c r="C29" s="6"/>
      <c r="D29" s="6">
        <v>1</v>
      </c>
      <c r="E29" s="6"/>
      <c r="F29" s="6"/>
      <c r="G29" s="6"/>
      <c r="H29" s="6"/>
      <c r="I29" s="6"/>
      <c r="J29" s="6">
        <v>1</v>
      </c>
      <c r="K29" s="6"/>
      <c r="L29" s="6"/>
      <c r="M29" s="6">
        <v>2</v>
      </c>
      <c r="N29" s="20"/>
      <c r="O29" s="13" t="s">
        <v>335</v>
      </c>
      <c r="P29" s="15">
        <v>1</v>
      </c>
    </row>
    <row r="30" spans="2:16" ht="19.95" customHeight="1" x14ac:dyDescent="0.25">
      <c r="B30" s="6" t="s">
        <v>336</v>
      </c>
      <c r="C30" s="6"/>
      <c r="D30" s="6"/>
      <c r="E30" s="6"/>
      <c r="F30" s="6"/>
      <c r="G30" s="6">
        <v>1</v>
      </c>
      <c r="H30" s="6"/>
      <c r="I30" s="6"/>
      <c r="J30" s="6"/>
      <c r="K30" s="6">
        <v>1</v>
      </c>
      <c r="L30" s="6"/>
      <c r="M30" s="6">
        <v>2</v>
      </c>
      <c r="N30" s="8"/>
      <c r="O30" s="13" t="s">
        <v>337</v>
      </c>
      <c r="P30" s="15">
        <v>1</v>
      </c>
    </row>
    <row r="31" spans="2:16" ht="19.95" customHeight="1" x14ac:dyDescent="0.25">
      <c r="B31" s="6" t="s">
        <v>338</v>
      </c>
      <c r="C31" s="6"/>
      <c r="D31" s="6"/>
      <c r="E31" s="6"/>
      <c r="F31" s="6"/>
      <c r="G31" s="6">
        <v>1</v>
      </c>
      <c r="H31" s="6">
        <v>1</v>
      </c>
      <c r="I31" s="6"/>
      <c r="J31" s="6"/>
      <c r="K31" s="6"/>
      <c r="L31" s="6"/>
      <c r="M31" s="6">
        <v>2</v>
      </c>
      <c r="N31" s="1"/>
      <c r="O31" s="3" t="s">
        <v>76</v>
      </c>
      <c r="P31" s="5">
        <v>4</v>
      </c>
    </row>
    <row r="32" spans="2:16" ht="19.95" customHeight="1" x14ac:dyDescent="0.25">
      <c r="B32" s="6" t="s">
        <v>339</v>
      </c>
      <c r="C32" s="6"/>
      <c r="D32" s="6"/>
      <c r="E32" s="6"/>
      <c r="F32" s="6"/>
      <c r="G32" s="6">
        <v>2</v>
      </c>
      <c r="H32" s="6"/>
      <c r="I32" s="6"/>
      <c r="J32" s="6"/>
      <c r="K32" s="6"/>
      <c r="L32" s="6"/>
      <c r="M32" s="6">
        <v>2</v>
      </c>
      <c r="N32" s="1"/>
      <c r="O32" s="1"/>
      <c r="P32" s="1"/>
    </row>
    <row r="33" spans="2:16" ht="19.95" customHeight="1" x14ac:dyDescent="0.25">
      <c r="B33" s="6" t="s">
        <v>340</v>
      </c>
      <c r="C33" s="6"/>
      <c r="D33" s="6"/>
      <c r="E33" s="6"/>
      <c r="F33" s="6"/>
      <c r="G33" s="6">
        <v>1</v>
      </c>
      <c r="H33" s="6"/>
      <c r="I33" s="6"/>
      <c r="J33" s="6"/>
      <c r="K33" s="6"/>
      <c r="L33" s="6"/>
      <c r="M33" s="6">
        <v>1</v>
      </c>
      <c r="N33" s="1"/>
      <c r="O33" s="1"/>
      <c r="P33" s="1"/>
    </row>
    <row r="34" spans="2:16" ht="19.95" customHeight="1" x14ac:dyDescent="0.25">
      <c r="B34" s="6" t="s">
        <v>341</v>
      </c>
      <c r="C34" s="6"/>
      <c r="D34" s="6"/>
      <c r="E34" s="6"/>
      <c r="F34" s="6"/>
      <c r="G34" s="6">
        <v>1</v>
      </c>
      <c r="H34" s="6"/>
      <c r="I34" s="6"/>
      <c r="J34" s="6"/>
      <c r="K34" s="6"/>
      <c r="L34" s="6"/>
      <c r="M34" s="6">
        <v>1</v>
      </c>
      <c r="N34" s="1"/>
      <c r="O34" s="1"/>
      <c r="P34" s="1"/>
    </row>
    <row r="35" spans="2:16" ht="19.95" customHeight="1" x14ac:dyDescent="0.25">
      <c r="B35" s="6" t="s">
        <v>342</v>
      </c>
      <c r="C35" s="6">
        <v>1</v>
      </c>
      <c r="D35" s="6"/>
      <c r="E35" s="6"/>
      <c r="F35" s="6"/>
      <c r="G35" s="6"/>
      <c r="H35" s="6"/>
      <c r="I35" s="6"/>
      <c r="J35" s="6"/>
      <c r="K35" s="6"/>
      <c r="L35" s="6"/>
      <c r="M35" s="6">
        <v>1</v>
      </c>
      <c r="N35" s="1"/>
      <c r="O35" s="1"/>
      <c r="P35" s="1"/>
    </row>
    <row r="36" spans="2:16" ht="19.95" customHeight="1" x14ac:dyDescent="0.25">
      <c r="B36" s="6" t="s">
        <v>343</v>
      </c>
      <c r="C36" s="6"/>
      <c r="D36" s="6"/>
      <c r="E36" s="6"/>
      <c r="F36" s="6"/>
      <c r="G36" s="6">
        <v>1</v>
      </c>
      <c r="H36" s="6"/>
      <c r="I36" s="6"/>
      <c r="J36" s="6"/>
      <c r="K36" s="6"/>
      <c r="L36" s="6"/>
      <c r="M36" s="6">
        <v>1</v>
      </c>
      <c r="N36" s="1"/>
      <c r="O36" s="1"/>
      <c r="P36" s="1"/>
    </row>
    <row r="37" spans="2:16" ht="19.95" customHeight="1" x14ac:dyDescent="0.25">
      <c r="B37" s="6" t="s">
        <v>344</v>
      </c>
      <c r="C37" s="6"/>
      <c r="D37" s="6">
        <v>1</v>
      </c>
      <c r="E37" s="6"/>
      <c r="F37" s="6"/>
      <c r="G37" s="6"/>
      <c r="H37" s="6"/>
      <c r="I37" s="6"/>
      <c r="J37" s="6"/>
      <c r="K37" s="6"/>
      <c r="L37" s="6"/>
      <c r="M37" s="6">
        <v>1</v>
      </c>
      <c r="N37" s="1"/>
      <c r="O37" s="1"/>
      <c r="P37" s="1"/>
    </row>
    <row r="38" spans="2:16" ht="19.95" customHeight="1" x14ac:dyDescent="0.25">
      <c r="B38" s="6" t="s">
        <v>345</v>
      </c>
      <c r="C38" s="6"/>
      <c r="D38" s="6"/>
      <c r="E38" s="6"/>
      <c r="F38" s="6"/>
      <c r="G38" s="6">
        <v>1</v>
      </c>
      <c r="H38" s="6"/>
      <c r="I38" s="6"/>
      <c r="J38" s="6"/>
      <c r="K38" s="6"/>
      <c r="L38" s="6"/>
      <c r="M38" s="6">
        <v>1</v>
      </c>
      <c r="N38" s="1"/>
      <c r="O38" s="1"/>
      <c r="P38" s="1"/>
    </row>
    <row r="39" spans="2:16" ht="19.95" customHeight="1" x14ac:dyDescent="0.25">
      <c r="B39" s="6" t="s">
        <v>346</v>
      </c>
      <c r="C39" s="6"/>
      <c r="D39" s="6"/>
      <c r="E39" s="6"/>
      <c r="F39" s="6"/>
      <c r="G39" s="6">
        <v>1</v>
      </c>
      <c r="H39" s="6"/>
      <c r="I39" s="6"/>
      <c r="J39" s="6"/>
      <c r="K39" s="6"/>
      <c r="L39" s="6"/>
      <c r="M39" s="6">
        <v>1</v>
      </c>
      <c r="N39" s="1"/>
      <c r="O39" s="1"/>
      <c r="P39" s="1"/>
    </row>
    <row r="40" spans="2:16" ht="19.95" customHeight="1" x14ac:dyDescent="0.25">
      <c r="B40" s="6" t="s">
        <v>347</v>
      </c>
      <c r="C40" s="6"/>
      <c r="D40" s="6"/>
      <c r="E40" s="6">
        <v>1</v>
      </c>
      <c r="F40" s="6"/>
      <c r="G40" s="6"/>
      <c r="H40" s="6"/>
      <c r="I40" s="6"/>
      <c r="J40" s="6"/>
      <c r="K40" s="6"/>
      <c r="L40" s="6"/>
      <c r="M40" s="6">
        <v>1</v>
      </c>
      <c r="N40" s="1"/>
      <c r="O40" s="1"/>
      <c r="P40" s="1"/>
    </row>
    <row r="41" spans="2:16" ht="19.95" customHeight="1" x14ac:dyDescent="0.25">
      <c r="B41" s="6" t="s">
        <v>348</v>
      </c>
      <c r="C41" s="6"/>
      <c r="D41" s="6"/>
      <c r="E41" s="6"/>
      <c r="F41" s="6"/>
      <c r="G41" s="6"/>
      <c r="H41" s="6"/>
      <c r="I41" s="6"/>
      <c r="J41" s="6"/>
      <c r="K41" s="6">
        <v>1</v>
      </c>
      <c r="L41" s="6"/>
      <c r="M41" s="6">
        <v>1</v>
      </c>
      <c r="N41" s="1"/>
      <c r="O41" s="1"/>
      <c r="P41" s="1"/>
    </row>
    <row r="42" spans="2:16" ht="19.95" customHeight="1" x14ac:dyDescent="0.25">
      <c r="B42" s="6" t="s">
        <v>349</v>
      </c>
      <c r="C42" s="6"/>
      <c r="D42" s="6"/>
      <c r="E42" s="6"/>
      <c r="F42" s="6">
        <v>1</v>
      </c>
      <c r="G42" s="6"/>
      <c r="H42" s="6"/>
      <c r="I42" s="6"/>
      <c r="J42" s="6"/>
      <c r="K42" s="6"/>
      <c r="L42" s="6"/>
      <c r="M42" s="6">
        <v>1</v>
      </c>
      <c r="N42" s="1"/>
      <c r="O42" s="1"/>
      <c r="P42" s="1"/>
    </row>
    <row r="43" spans="2:16" ht="19.95" customHeight="1" x14ac:dyDescent="0.25">
      <c r="B43" s="6" t="s">
        <v>350</v>
      </c>
      <c r="C43" s="6"/>
      <c r="D43" s="6"/>
      <c r="E43" s="6"/>
      <c r="F43" s="6"/>
      <c r="G43" s="6"/>
      <c r="H43" s="6"/>
      <c r="I43" s="6"/>
      <c r="J43" s="6"/>
      <c r="K43" s="6"/>
      <c r="L43" s="6">
        <v>1</v>
      </c>
      <c r="M43" s="6">
        <v>1</v>
      </c>
      <c r="N43" s="1"/>
      <c r="O43" s="1"/>
      <c r="P43" s="1"/>
    </row>
    <row r="44" spans="2:16" ht="19.95" customHeight="1" x14ac:dyDescent="0.25">
      <c r="B44" s="6" t="s">
        <v>351</v>
      </c>
      <c r="C44" s="6"/>
      <c r="D44" s="6"/>
      <c r="E44" s="6"/>
      <c r="F44" s="6"/>
      <c r="G44" s="6">
        <v>1</v>
      </c>
      <c r="H44" s="6"/>
      <c r="I44" s="6"/>
      <c r="J44" s="6"/>
      <c r="K44" s="6"/>
      <c r="L44" s="6"/>
      <c r="M44" s="6">
        <v>1</v>
      </c>
      <c r="N44" s="1"/>
      <c r="O44" s="1"/>
      <c r="P44" s="1"/>
    </row>
    <row r="45" spans="2:16" ht="19.95" customHeight="1" x14ac:dyDescent="0.25">
      <c r="B45" s="3" t="s">
        <v>76</v>
      </c>
      <c r="C45" s="6">
        <v>1</v>
      </c>
      <c r="D45" s="6">
        <v>3</v>
      </c>
      <c r="E45" s="6">
        <v>2</v>
      </c>
      <c r="F45" s="6">
        <v>1</v>
      </c>
      <c r="G45" s="6">
        <v>12</v>
      </c>
      <c r="H45" s="6">
        <v>1</v>
      </c>
      <c r="I45" s="6">
        <v>1</v>
      </c>
      <c r="J45" s="6">
        <v>1</v>
      </c>
      <c r="K45" s="6">
        <v>3</v>
      </c>
      <c r="L45" s="6">
        <v>1</v>
      </c>
      <c r="M45" s="5">
        <v>26</v>
      </c>
      <c r="N45" s="1"/>
      <c r="O45" s="1"/>
      <c r="P45" s="1"/>
    </row>
    <row r="46" spans="2:16" ht="40.950000000000003" customHeight="1" x14ac:dyDescent="0.25"/>
    <row r="47" spans="2:16" ht="39" customHeight="1" x14ac:dyDescent="0.25">
      <c r="B47" s="142" t="s">
        <v>352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"/>
      <c r="M47" s="142" t="s">
        <v>353</v>
      </c>
      <c r="N47" s="142"/>
    </row>
    <row r="48" spans="2:16" ht="28.05" customHeight="1" x14ac:dyDescent="0.25">
      <c r="B48" s="3" t="s">
        <v>307</v>
      </c>
      <c r="C48" s="3" t="s">
        <v>322</v>
      </c>
      <c r="D48" s="3" t="s">
        <v>354</v>
      </c>
      <c r="E48" s="3" t="s">
        <v>327</v>
      </c>
      <c r="F48" s="3" t="s">
        <v>310</v>
      </c>
      <c r="G48" s="3" t="s">
        <v>355</v>
      </c>
      <c r="H48" s="3" t="s">
        <v>328</v>
      </c>
      <c r="I48" s="3" t="s">
        <v>313</v>
      </c>
      <c r="J48" s="3" t="s">
        <v>209</v>
      </c>
      <c r="K48" s="3" t="s">
        <v>76</v>
      </c>
      <c r="M48" s="19" t="s">
        <v>330</v>
      </c>
      <c r="N48" s="19" t="s">
        <v>315</v>
      </c>
    </row>
    <row r="49" spans="2:14" ht="19.95" customHeight="1" x14ac:dyDescent="0.25">
      <c r="B49" s="5" t="s">
        <v>187</v>
      </c>
      <c r="C49" s="6"/>
      <c r="D49" s="6"/>
      <c r="E49" s="6"/>
      <c r="F49" s="6">
        <v>2</v>
      </c>
      <c r="G49" s="6"/>
      <c r="H49" s="6"/>
      <c r="I49" s="6"/>
      <c r="J49" s="6"/>
      <c r="K49" s="7">
        <v>2</v>
      </c>
      <c r="M49" s="5" t="s">
        <v>356</v>
      </c>
      <c r="N49" s="21">
        <v>2</v>
      </c>
    </row>
    <row r="50" spans="2:14" ht="19.95" customHeight="1" x14ac:dyDescent="0.25">
      <c r="B50" s="6" t="s">
        <v>357</v>
      </c>
      <c r="C50" s="6"/>
      <c r="D50" s="6"/>
      <c r="E50" s="6"/>
      <c r="F50" s="6"/>
      <c r="G50" s="6"/>
      <c r="H50" s="6"/>
      <c r="I50" s="6"/>
      <c r="J50" s="6">
        <v>1</v>
      </c>
      <c r="K50" s="6">
        <v>1</v>
      </c>
      <c r="M50" s="13" t="s">
        <v>358</v>
      </c>
      <c r="N50" s="15">
        <v>1</v>
      </c>
    </row>
    <row r="51" spans="2:14" ht="19.95" customHeight="1" x14ac:dyDescent="0.25">
      <c r="B51" s="6" t="s">
        <v>359</v>
      </c>
      <c r="C51" s="6"/>
      <c r="D51" s="6">
        <v>1</v>
      </c>
      <c r="E51" s="6"/>
      <c r="F51" s="6"/>
      <c r="G51" s="6"/>
      <c r="H51" s="6"/>
      <c r="I51" s="6"/>
      <c r="J51" s="6"/>
      <c r="K51" s="6">
        <v>1</v>
      </c>
      <c r="M51" s="13" t="s">
        <v>360</v>
      </c>
      <c r="N51" s="15">
        <v>1</v>
      </c>
    </row>
    <row r="52" spans="2:14" ht="19.95" customHeight="1" x14ac:dyDescent="0.25">
      <c r="B52" s="6" t="s">
        <v>361</v>
      </c>
      <c r="C52" s="6"/>
      <c r="D52" s="6"/>
      <c r="E52" s="6">
        <v>1</v>
      </c>
      <c r="F52" s="6"/>
      <c r="G52" s="6"/>
      <c r="H52" s="6"/>
      <c r="I52" s="6"/>
      <c r="J52" s="6"/>
      <c r="K52" s="6">
        <v>1</v>
      </c>
      <c r="M52" s="13" t="s">
        <v>362</v>
      </c>
      <c r="N52" s="15">
        <v>1</v>
      </c>
    </row>
    <row r="53" spans="2:14" ht="19.95" customHeight="1" x14ac:dyDescent="0.25">
      <c r="B53" s="6" t="s">
        <v>181</v>
      </c>
      <c r="C53" s="6"/>
      <c r="D53" s="6"/>
      <c r="E53" s="6"/>
      <c r="F53" s="6">
        <v>1</v>
      </c>
      <c r="G53" s="6"/>
      <c r="H53" s="6"/>
      <c r="I53" s="6"/>
      <c r="J53" s="6"/>
      <c r="K53" s="6">
        <v>1</v>
      </c>
      <c r="M53" s="13" t="s">
        <v>363</v>
      </c>
      <c r="N53" s="15">
        <v>1</v>
      </c>
    </row>
    <row r="54" spans="2:14" ht="19.95" customHeight="1" x14ac:dyDescent="0.25">
      <c r="B54" s="6" t="s">
        <v>211</v>
      </c>
      <c r="C54" s="6"/>
      <c r="D54" s="6"/>
      <c r="E54" s="6"/>
      <c r="F54" s="6">
        <v>1</v>
      </c>
      <c r="G54" s="6"/>
      <c r="H54" s="6"/>
      <c r="I54" s="6"/>
      <c r="J54" s="6"/>
      <c r="K54" s="6">
        <v>1</v>
      </c>
      <c r="M54" s="3" t="s">
        <v>76</v>
      </c>
      <c r="N54" s="5">
        <v>6</v>
      </c>
    </row>
    <row r="55" spans="2:14" ht="19.95" customHeight="1" x14ac:dyDescent="0.25">
      <c r="B55" s="6" t="s">
        <v>230</v>
      </c>
      <c r="C55" s="6"/>
      <c r="D55" s="6"/>
      <c r="E55" s="6"/>
      <c r="F55" s="6">
        <v>1</v>
      </c>
      <c r="G55" s="6"/>
      <c r="H55" s="6"/>
      <c r="I55" s="6"/>
      <c r="J55" s="6"/>
      <c r="K55" s="6">
        <v>1</v>
      </c>
      <c r="M55" s="9"/>
      <c r="N55" s="16"/>
    </row>
    <row r="56" spans="2:14" ht="19.95" customHeight="1" x14ac:dyDescent="0.25">
      <c r="B56" s="6" t="s">
        <v>225</v>
      </c>
      <c r="C56" s="6"/>
      <c r="D56" s="6"/>
      <c r="E56" s="6"/>
      <c r="F56" s="6"/>
      <c r="G56" s="6"/>
      <c r="H56" s="6"/>
      <c r="I56" s="6"/>
      <c r="J56" s="6">
        <v>1</v>
      </c>
      <c r="K56" s="6">
        <v>1</v>
      </c>
      <c r="M56" s="1"/>
      <c r="N56" s="1"/>
    </row>
    <row r="57" spans="2:14" ht="19.95" customHeight="1" x14ac:dyDescent="0.25">
      <c r="B57" s="6" t="s">
        <v>236</v>
      </c>
      <c r="C57" s="6"/>
      <c r="D57" s="6"/>
      <c r="E57" s="6"/>
      <c r="F57" s="6"/>
      <c r="G57" s="6"/>
      <c r="H57" s="6">
        <v>1</v>
      </c>
      <c r="I57" s="6"/>
      <c r="J57" s="6"/>
      <c r="K57" s="6">
        <v>1</v>
      </c>
      <c r="M57" s="1"/>
      <c r="N57" s="1"/>
    </row>
    <row r="58" spans="2:14" ht="19.95" customHeight="1" x14ac:dyDescent="0.25">
      <c r="B58" s="6" t="s">
        <v>214</v>
      </c>
      <c r="C58" s="6"/>
      <c r="D58" s="6"/>
      <c r="E58" s="6"/>
      <c r="F58" s="6">
        <v>1</v>
      </c>
      <c r="G58" s="6"/>
      <c r="H58" s="6"/>
      <c r="I58" s="6"/>
      <c r="J58" s="6"/>
      <c r="K58" s="6">
        <v>1</v>
      </c>
      <c r="M58" s="1"/>
      <c r="N58" s="1"/>
    </row>
    <row r="59" spans="2:14" x14ac:dyDescent="0.25">
      <c r="B59" s="6" t="s">
        <v>196</v>
      </c>
      <c r="C59" s="6"/>
      <c r="D59" s="6"/>
      <c r="E59" s="6"/>
      <c r="F59" s="6">
        <v>1</v>
      </c>
      <c r="G59" s="6"/>
      <c r="H59" s="6"/>
      <c r="I59" s="6"/>
      <c r="J59" s="6"/>
      <c r="K59" s="6">
        <v>1</v>
      </c>
      <c r="M59" s="1"/>
      <c r="N59" s="1"/>
    </row>
    <row r="60" spans="2:14" x14ac:dyDescent="0.25">
      <c r="B60" s="6" t="s">
        <v>184</v>
      </c>
      <c r="C60" s="6"/>
      <c r="D60" s="6"/>
      <c r="E60" s="6">
        <v>1</v>
      </c>
      <c r="F60" s="6"/>
      <c r="G60" s="6"/>
      <c r="H60" s="6"/>
      <c r="I60" s="6"/>
      <c r="J60" s="6"/>
      <c r="K60" s="6">
        <v>1</v>
      </c>
      <c r="M60" s="1"/>
      <c r="N60" s="1"/>
    </row>
    <row r="61" spans="2:14" x14ac:dyDescent="0.25">
      <c r="B61" s="6" t="s">
        <v>205</v>
      </c>
      <c r="C61" s="6"/>
      <c r="D61" s="6"/>
      <c r="E61" s="6"/>
      <c r="F61" s="6"/>
      <c r="G61" s="6"/>
      <c r="H61" s="6"/>
      <c r="I61" s="6">
        <v>1</v>
      </c>
      <c r="J61" s="6"/>
      <c r="K61" s="6">
        <v>1</v>
      </c>
      <c r="M61" s="1"/>
      <c r="N61" s="1"/>
    </row>
    <row r="62" spans="2:14" x14ac:dyDescent="0.25">
      <c r="B62" s="6" t="s">
        <v>364</v>
      </c>
      <c r="C62" s="6"/>
      <c r="D62" s="6"/>
      <c r="E62" s="6"/>
      <c r="F62" s="6"/>
      <c r="G62" s="6">
        <v>1</v>
      </c>
      <c r="H62" s="6"/>
      <c r="I62" s="6"/>
      <c r="J62" s="6"/>
      <c r="K62" s="6">
        <v>1</v>
      </c>
      <c r="M62" s="1"/>
      <c r="N62" s="1"/>
    </row>
    <row r="63" spans="2:14" x14ac:dyDescent="0.25">
      <c r="B63" s="6" t="s">
        <v>365</v>
      </c>
      <c r="C63" s="6"/>
      <c r="D63" s="6"/>
      <c r="E63" s="6"/>
      <c r="F63" s="6"/>
      <c r="G63" s="6">
        <v>1</v>
      </c>
      <c r="H63" s="6"/>
      <c r="I63" s="6"/>
      <c r="J63" s="6"/>
      <c r="K63" s="6">
        <v>1</v>
      </c>
      <c r="M63" s="1"/>
      <c r="N63" s="1"/>
    </row>
    <row r="64" spans="2:14" x14ac:dyDescent="0.25">
      <c r="B64" s="6" t="s">
        <v>209</v>
      </c>
      <c r="C64" s="6">
        <v>1</v>
      </c>
      <c r="D64" s="6"/>
      <c r="E64" s="6"/>
      <c r="F64" s="6"/>
      <c r="G64" s="6"/>
      <c r="H64" s="6"/>
      <c r="I64" s="6"/>
      <c r="J64" s="6"/>
      <c r="K64" s="6">
        <v>1</v>
      </c>
      <c r="M64" s="1"/>
      <c r="N64" s="1"/>
    </row>
    <row r="65" spans="2:14" x14ac:dyDescent="0.25">
      <c r="B65" s="3" t="s">
        <v>76</v>
      </c>
      <c r="C65" s="6">
        <v>1</v>
      </c>
      <c r="D65" s="6">
        <v>1</v>
      </c>
      <c r="E65" s="6">
        <v>2</v>
      </c>
      <c r="F65" s="6">
        <v>7</v>
      </c>
      <c r="G65" s="6">
        <v>2</v>
      </c>
      <c r="H65" s="6">
        <v>1</v>
      </c>
      <c r="I65" s="6">
        <v>1</v>
      </c>
      <c r="J65" s="6">
        <v>2</v>
      </c>
      <c r="K65" s="5">
        <v>17</v>
      </c>
      <c r="M65" s="1"/>
      <c r="N65" s="1"/>
    </row>
  </sheetData>
  <mergeCells count="8">
    <mergeCell ref="O25:P25"/>
    <mergeCell ref="B47:K47"/>
    <mergeCell ref="M47:N47"/>
    <mergeCell ref="B2:I2"/>
    <mergeCell ref="K2:L2"/>
    <mergeCell ref="B15:F15"/>
    <mergeCell ref="H15:I15"/>
    <mergeCell ref="B25:M25"/>
  </mergeCells>
  <phoneticPr fontId="21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topLeftCell="G1" workbookViewId="0">
      <selection activeCell="K15" sqref="K15"/>
    </sheetView>
  </sheetViews>
  <sheetFormatPr defaultColWidth="9" defaultRowHeight="14.4" x14ac:dyDescent="0.25"/>
  <cols>
    <col min="1" max="1" width="5.6640625" hidden="1" customWidth="1"/>
    <col min="2" max="2" width="32.21875" hidden="1" customWidth="1"/>
    <col min="3" max="3" width="12.6640625" hidden="1" customWidth="1"/>
    <col min="4" max="4" width="10.109375" hidden="1" customWidth="1"/>
    <col min="5" max="5" width="26.77734375" hidden="1" customWidth="1"/>
    <col min="6" max="6" width="22.109375" hidden="1" customWidth="1"/>
    <col min="7" max="7" width="10.33203125" customWidth="1"/>
    <col min="8" max="8" width="45.33203125" customWidth="1"/>
    <col min="9" max="9" width="12.109375" customWidth="1"/>
    <col min="10" max="10" width="10.6640625" customWidth="1"/>
  </cols>
  <sheetData>
    <row r="1" spans="2:9" ht="21" customHeight="1" x14ac:dyDescent="0.25"/>
    <row r="2" spans="2:9" ht="36" customHeight="1" x14ac:dyDescent="0.25">
      <c r="B2" s="144" t="s">
        <v>366</v>
      </c>
      <c r="C2" s="144"/>
      <c r="E2" s="144" t="s">
        <v>367</v>
      </c>
      <c r="F2" s="144"/>
      <c r="H2" s="144" t="s">
        <v>368</v>
      </c>
      <c r="I2" s="144"/>
    </row>
    <row r="3" spans="2:9" ht="28.95" customHeight="1" x14ac:dyDescent="0.25">
      <c r="B3" s="3" t="s">
        <v>369</v>
      </c>
      <c r="C3" s="3" t="s">
        <v>370</v>
      </c>
      <c r="E3" s="3" t="s">
        <v>369</v>
      </c>
      <c r="F3" s="3" t="s">
        <v>370</v>
      </c>
      <c r="H3" s="3" t="s">
        <v>369</v>
      </c>
      <c r="I3" s="3" t="s">
        <v>370</v>
      </c>
    </row>
    <row r="4" spans="2:9" ht="22.05" customHeight="1" x14ac:dyDescent="0.25">
      <c r="B4" s="5" t="s">
        <v>267</v>
      </c>
      <c r="C4" s="7">
        <v>2</v>
      </c>
      <c r="E4" s="5" t="s">
        <v>207</v>
      </c>
      <c r="F4" s="7">
        <v>3</v>
      </c>
      <c r="H4" s="5"/>
      <c r="I4" s="7"/>
    </row>
    <row r="5" spans="2:9" ht="22.05" customHeight="1" x14ac:dyDescent="0.25">
      <c r="B5" s="5" t="s">
        <v>215</v>
      </c>
      <c r="C5" s="7">
        <v>2</v>
      </c>
      <c r="E5" s="5" t="s">
        <v>180</v>
      </c>
      <c r="F5" s="7">
        <v>3</v>
      </c>
      <c r="H5" s="5"/>
      <c r="I5" s="7"/>
    </row>
    <row r="6" spans="2:9" ht="22.05" customHeight="1" x14ac:dyDescent="0.25">
      <c r="B6" s="6" t="s">
        <v>252</v>
      </c>
      <c r="C6" s="6">
        <v>1</v>
      </c>
      <c r="E6" s="6" t="s">
        <v>201</v>
      </c>
      <c r="F6" s="6">
        <v>1</v>
      </c>
      <c r="H6" s="6"/>
      <c r="I6" s="6"/>
    </row>
    <row r="7" spans="2:9" ht="22.05" customHeight="1" x14ac:dyDescent="0.25">
      <c r="B7" s="6" t="s">
        <v>299</v>
      </c>
      <c r="C7" s="6">
        <v>1</v>
      </c>
      <c r="E7" s="6" t="s">
        <v>224</v>
      </c>
      <c r="F7" s="6">
        <v>1</v>
      </c>
      <c r="H7" s="6"/>
      <c r="I7" s="6"/>
    </row>
    <row r="8" spans="2:9" ht="22.05" customHeight="1" x14ac:dyDescent="0.25">
      <c r="B8" s="6" t="s">
        <v>261</v>
      </c>
      <c r="C8" s="6">
        <v>1</v>
      </c>
      <c r="E8" s="6" t="s">
        <v>198</v>
      </c>
      <c r="F8" s="6">
        <v>1</v>
      </c>
      <c r="H8" s="6"/>
      <c r="I8" s="6"/>
    </row>
    <row r="9" spans="2:9" ht="22.05" customHeight="1" x14ac:dyDescent="0.25">
      <c r="B9" s="6" t="s">
        <v>301</v>
      </c>
      <c r="C9" s="6">
        <v>1</v>
      </c>
      <c r="E9" s="6" t="s">
        <v>259</v>
      </c>
      <c r="F9" s="6">
        <v>1</v>
      </c>
      <c r="H9" s="6"/>
      <c r="I9" s="6"/>
    </row>
    <row r="10" spans="2:9" ht="22.05" customHeight="1" x14ac:dyDescent="0.25">
      <c r="B10" s="6" t="s">
        <v>264</v>
      </c>
      <c r="C10" s="6">
        <v>1</v>
      </c>
      <c r="E10" s="6" t="s">
        <v>371</v>
      </c>
      <c r="F10" s="6">
        <v>1</v>
      </c>
      <c r="H10" s="6"/>
      <c r="I10" s="6"/>
    </row>
    <row r="11" spans="2:9" ht="22.05" customHeight="1" x14ac:dyDescent="0.25">
      <c r="B11" s="6" t="s">
        <v>200</v>
      </c>
      <c r="C11" s="6">
        <v>1</v>
      </c>
      <c r="E11" s="3" t="s">
        <v>76</v>
      </c>
      <c r="F11" s="5">
        <v>11</v>
      </c>
      <c r="H11" s="6"/>
      <c r="I11" s="6"/>
    </row>
    <row r="12" spans="2:9" ht="22.05" customHeight="1" x14ac:dyDescent="0.25">
      <c r="B12" s="6" t="s">
        <v>302</v>
      </c>
      <c r="C12" s="6">
        <v>1</v>
      </c>
      <c r="E12" s="9"/>
      <c r="F12" s="9"/>
      <c r="H12" s="6"/>
      <c r="I12" s="6"/>
    </row>
    <row r="13" spans="2:9" ht="22.05" customHeight="1" x14ac:dyDescent="0.25">
      <c r="B13" s="6" t="s">
        <v>282</v>
      </c>
      <c r="C13" s="6">
        <v>1</v>
      </c>
      <c r="E13" s="9"/>
      <c r="F13" s="9"/>
      <c r="H13" s="6"/>
      <c r="I13" s="6"/>
    </row>
    <row r="14" spans="2:9" ht="22.05" customHeight="1" x14ac:dyDescent="0.25">
      <c r="B14" s="3" t="s">
        <v>76</v>
      </c>
      <c r="C14" s="5">
        <v>12</v>
      </c>
      <c r="E14" s="10"/>
      <c r="F14" s="11"/>
      <c r="H14" s="6"/>
      <c r="I14" s="6"/>
    </row>
    <row r="15" spans="2:9" ht="22.05" customHeight="1" x14ac:dyDescent="0.25">
      <c r="H15" s="3" t="s">
        <v>76</v>
      </c>
      <c r="I15" s="5"/>
    </row>
    <row r="16" spans="2:9" ht="22.05" customHeight="1" x14ac:dyDescent="0.25"/>
  </sheetData>
  <mergeCells count="3">
    <mergeCell ref="B2:C2"/>
    <mergeCell ref="E2:F2"/>
    <mergeCell ref="H2:I2"/>
  </mergeCells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CT47"/>
  <sheetViews>
    <sheetView showGridLines="0" topLeftCell="A24" workbookViewId="0">
      <selection activeCell="I40" sqref="I40"/>
    </sheetView>
  </sheetViews>
  <sheetFormatPr defaultColWidth="9" defaultRowHeight="14.4" x14ac:dyDescent="0.25"/>
  <cols>
    <col min="1" max="1" width="10.88671875" customWidth="1"/>
    <col min="2" max="2" width="30.6640625" style="1" customWidth="1"/>
    <col min="3" max="3" width="20.77734375" style="1" customWidth="1"/>
    <col min="4" max="4" width="21" style="1" customWidth="1"/>
    <col min="5" max="5" width="23.109375" style="1" customWidth="1"/>
    <col min="6" max="16322" width="9" style="1"/>
  </cols>
  <sheetData>
    <row r="1" spans="2:9" ht="30" customHeight="1" x14ac:dyDescent="0.25"/>
    <row r="2" spans="2:9" s="1" customFormat="1" ht="30" customHeight="1" x14ac:dyDescent="0.25">
      <c r="B2" s="142" t="s">
        <v>372</v>
      </c>
      <c r="C2" s="142"/>
      <c r="D2" s="142"/>
      <c r="E2" s="142"/>
      <c r="F2" s="142"/>
    </row>
    <row r="3" spans="2:9" s="2" customFormat="1" ht="33" customHeight="1" x14ac:dyDescent="0.25">
      <c r="B3" s="3" t="s">
        <v>307</v>
      </c>
      <c r="C3" s="4" t="s">
        <v>373</v>
      </c>
      <c r="D3" s="3" t="s">
        <v>374</v>
      </c>
      <c r="E3" s="4" t="s">
        <v>375</v>
      </c>
      <c r="F3" s="3" t="s">
        <v>76</v>
      </c>
    </row>
    <row r="4" spans="2:9" s="1" customFormat="1" ht="19.95" customHeight="1" x14ac:dyDescent="0.25">
      <c r="B4" s="5" t="s">
        <v>200</v>
      </c>
      <c r="C4" s="6"/>
      <c r="D4" s="6">
        <v>2</v>
      </c>
      <c r="E4" s="6"/>
      <c r="F4" s="7">
        <v>2</v>
      </c>
    </row>
    <row r="5" spans="2:9" s="1" customFormat="1" ht="19.95" customHeight="1" x14ac:dyDescent="0.25">
      <c r="B5" s="5" t="s">
        <v>273</v>
      </c>
      <c r="C5" s="6"/>
      <c r="D5" s="6">
        <v>2</v>
      </c>
      <c r="E5" s="6"/>
      <c r="F5" s="7">
        <v>2</v>
      </c>
    </row>
    <row r="6" spans="2:9" s="1" customFormat="1" ht="19.95" customHeight="1" x14ac:dyDescent="0.25">
      <c r="B6" s="5" t="s">
        <v>240</v>
      </c>
      <c r="C6" s="6">
        <v>1</v>
      </c>
      <c r="D6" s="6">
        <v>1</v>
      </c>
      <c r="E6" s="6"/>
      <c r="F6" s="7">
        <v>2</v>
      </c>
    </row>
    <row r="7" spans="2:9" s="1" customFormat="1" ht="19.95" customHeight="1" x14ac:dyDescent="0.25">
      <c r="B7" s="6" t="s">
        <v>194</v>
      </c>
      <c r="C7" s="6"/>
      <c r="D7" s="6">
        <v>1</v>
      </c>
      <c r="E7" s="6"/>
      <c r="F7" s="6">
        <v>1</v>
      </c>
    </row>
    <row r="8" spans="2:9" s="1" customFormat="1" ht="19.95" customHeight="1" x14ac:dyDescent="0.25">
      <c r="B8" s="6" t="s">
        <v>292</v>
      </c>
      <c r="C8" s="6"/>
      <c r="D8" s="6"/>
      <c r="E8" s="6">
        <v>1</v>
      </c>
      <c r="F8" s="6">
        <v>1</v>
      </c>
    </row>
    <row r="9" spans="2:9" s="1" customFormat="1" ht="19.95" customHeight="1" x14ac:dyDescent="0.25">
      <c r="B9" s="6" t="s">
        <v>319</v>
      </c>
      <c r="C9" s="6"/>
      <c r="D9" s="6">
        <v>1</v>
      </c>
      <c r="E9" s="6"/>
      <c r="F9" s="6">
        <v>1</v>
      </c>
      <c r="I9" s="8" t="s">
        <v>376</v>
      </c>
    </row>
    <row r="10" spans="2:9" s="1" customFormat="1" ht="19.95" customHeight="1" x14ac:dyDescent="0.25">
      <c r="B10" s="6" t="s">
        <v>377</v>
      </c>
      <c r="C10" s="6"/>
      <c r="D10" s="6">
        <v>1</v>
      </c>
      <c r="E10" s="6"/>
      <c r="F10" s="6">
        <v>1</v>
      </c>
    </row>
    <row r="11" spans="2:9" s="1" customFormat="1" ht="19.95" customHeight="1" x14ac:dyDescent="0.25">
      <c r="B11" s="6" t="s">
        <v>282</v>
      </c>
      <c r="C11" s="6"/>
      <c r="D11" s="6">
        <v>1</v>
      </c>
      <c r="E11" s="6"/>
      <c r="F11" s="6">
        <v>1</v>
      </c>
    </row>
    <row r="12" spans="2:9" s="1" customFormat="1" ht="19.95" customHeight="1" x14ac:dyDescent="0.25">
      <c r="B12" s="3" t="s">
        <v>76</v>
      </c>
      <c r="C12" s="6">
        <v>1</v>
      </c>
      <c r="D12" s="6">
        <v>9</v>
      </c>
      <c r="E12" s="6">
        <v>1</v>
      </c>
      <c r="F12" s="5">
        <v>11</v>
      </c>
    </row>
    <row r="13" spans="2:9" s="1" customFormat="1" ht="36" customHeight="1" x14ac:dyDescent="0.25"/>
    <row r="14" spans="2:9" s="1" customFormat="1" ht="34.049999999999997" customHeight="1" x14ac:dyDescent="0.25">
      <c r="B14" s="142" t="s">
        <v>378</v>
      </c>
      <c r="C14" s="142"/>
      <c r="D14" s="142"/>
      <c r="E14" s="142"/>
      <c r="F14" s="142"/>
    </row>
    <row r="15" spans="2:9" s="1" customFormat="1" ht="36" customHeight="1" x14ac:dyDescent="0.25">
      <c r="B15" s="3" t="s">
        <v>307</v>
      </c>
      <c r="C15" s="3" t="s">
        <v>379</v>
      </c>
      <c r="D15" s="3" t="s">
        <v>374</v>
      </c>
      <c r="E15" s="4" t="s">
        <v>380</v>
      </c>
      <c r="F15" s="3" t="s">
        <v>76</v>
      </c>
    </row>
    <row r="16" spans="2:9" s="1" customFormat="1" ht="22.05" customHeight="1" x14ac:dyDescent="0.25">
      <c r="B16" s="5" t="s">
        <v>204</v>
      </c>
      <c r="C16" s="6">
        <v>1</v>
      </c>
      <c r="D16" s="6">
        <v>3</v>
      </c>
      <c r="E16" s="6"/>
      <c r="F16" s="7">
        <v>4</v>
      </c>
    </row>
    <row r="17" spans="2:6" s="1" customFormat="1" ht="22.05" customHeight="1" x14ac:dyDescent="0.25">
      <c r="B17" s="5" t="s">
        <v>244</v>
      </c>
      <c r="C17" s="6"/>
      <c r="D17" s="6">
        <v>2</v>
      </c>
      <c r="E17" s="6"/>
      <c r="F17" s="7">
        <v>2</v>
      </c>
    </row>
    <row r="18" spans="2:6" s="1" customFormat="1" ht="22.05" customHeight="1" x14ac:dyDescent="0.25">
      <c r="B18" s="5" t="s">
        <v>210</v>
      </c>
      <c r="C18" s="6"/>
      <c r="D18" s="6">
        <v>2</v>
      </c>
      <c r="E18" s="6"/>
      <c r="F18" s="7">
        <v>2</v>
      </c>
    </row>
    <row r="19" spans="2:6" s="1" customFormat="1" ht="22.05" customHeight="1" x14ac:dyDescent="0.25">
      <c r="B19" s="6" t="s">
        <v>207</v>
      </c>
      <c r="C19" s="6"/>
      <c r="D19" s="6"/>
      <c r="E19" s="6">
        <v>1</v>
      </c>
      <c r="F19" s="6">
        <v>1</v>
      </c>
    </row>
    <row r="20" spans="2:6" s="1" customFormat="1" ht="22.05" customHeight="1" x14ac:dyDescent="0.25">
      <c r="B20" s="6" t="s">
        <v>250</v>
      </c>
      <c r="C20" s="6"/>
      <c r="D20" s="6">
        <v>1</v>
      </c>
      <c r="E20" s="6"/>
      <c r="F20" s="6">
        <v>1</v>
      </c>
    </row>
    <row r="21" spans="2:6" ht="22.05" customHeight="1" x14ac:dyDescent="0.25">
      <c r="B21" s="6" t="s">
        <v>371</v>
      </c>
      <c r="C21" s="6"/>
      <c r="D21" s="6">
        <v>1</v>
      </c>
      <c r="E21" s="6"/>
      <c r="F21" s="6">
        <v>1</v>
      </c>
    </row>
    <row r="22" spans="2:6" ht="22.05" customHeight="1" x14ac:dyDescent="0.25">
      <c r="B22" s="6" t="s">
        <v>180</v>
      </c>
      <c r="C22" s="6"/>
      <c r="D22" s="6">
        <v>1</v>
      </c>
      <c r="E22" s="6"/>
      <c r="F22" s="6">
        <v>1</v>
      </c>
    </row>
    <row r="23" spans="2:6" ht="22.05" customHeight="1" x14ac:dyDescent="0.25">
      <c r="B23" s="3" t="s">
        <v>76</v>
      </c>
      <c r="C23" s="6">
        <v>1</v>
      </c>
      <c r="D23" s="6">
        <v>10</v>
      </c>
      <c r="E23" s="6">
        <v>1</v>
      </c>
      <c r="F23" s="5">
        <v>12</v>
      </c>
    </row>
    <row r="24" spans="2:6" ht="40.049999999999997" customHeight="1" x14ac:dyDescent="0.25"/>
    <row r="25" spans="2:6" ht="40.049999999999997" customHeight="1" x14ac:dyDescent="0.25">
      <c r="B25" s="145" t="s">
        <v>372</v>
      </c>
      <c r="C25" s="146"/>
      <c r="D25" s="146"/>
      <c r="E25" s="146"/>
      <c r="F25" s="147"/>
    </row>
    <row r="26" spans="2:6" ht="40.950000000000003" customHeight="1" x14ac:dyDescent="0.25">
      <c r="B26" s="3" t="s">
        <v>307</v>
      </c>
      <c r="C26" s="3" t="s">
        <v>379</v>
      </c>
      <c r="D26" s="3" t="s">
        <v>374</v>
      </c>
      <c r="E26" s="4" t="s">
        <v>381</v>
      </c>
      <c r="F26" s="3" t="s">
        <v>76</v>
      </c>
    </row>
    <row r="27" spans="2:6" ht="22.05" customHeight="1" x14ac:dyDescent="0.25">
      <c r="B27" s="5"/>
      <c r="C27" s="6"/>
      <c r="D27" s="6"/>
      <c r="E27" s="6"/>
      <c r="F27" s="7"/>
    </row>
    <row r="28" spans="2:6" ht="22.05" customHeight="1" x14ac:dyDescent="0.25">
      <c r="B28" s="5"/>
      <c r="C28" s="6"/>
      <c r="D28" s="6"/>
      <c r="E28" s="6"/>
      <c r="F28" s="7"/>
    </row>
    <row r="29" spans="2:6" ht="22.05" customHeight="1" x14ac:dyDescent="0.25">
      <c r="B29" s="6"/>
      <c r="C29" s="6"/>
      <c r="D29" s="6"/>
      <c r="E29" s="6"/>
      <c r="F29" s="6"/>
    </row>
    <row r="30" spans="2:6" ht="22.05" customHeight="1" x14ac:dyDescent="0.25">
      <c r="B30" s="6"/>
      <c r="C30" s="6"/>
      <c r="D30" s="6"/>
      <c r="E30" s="6"/>
      <c r="F30" s="6"/>
    </row>
    <row r="31" spans="2:6" ht="22.05" customHeight="1" x14ac:dyDescent="0.25">
      <c r="B31" s="6"/>
      <c r="C31" s="6"/>
      <c r="D31" s="6"/>
      <c r="E31" s="6"/>
      <c r="F31" s="6"/>
    </row>
    <row r="32" spans="2:6" ht="22.05" customHeight="1" x14ac:dyDescent="0.25">
      <c r="B32" s="6"/>
      <c r="C32" s="6"/>
      <c r="D32" s="6"/>
      <c r="E32" s="6"/>
      <c r="F32" s="6"/>
    </row>
    <row r="33" spans="2:6" ht="22.05" customHeight="1" x14ac:dyDescent="0.25">
      <c r="B33" s="6"/>
      <c r="C33" s="6"/>
      <c r="D33" s="6"/>
      <c r="E33" s="6"/>
      <c r="F33" s="6"/>
    </row>
    <row r="34" spans="2:6" ht="22.05" customHeight="1" x14ac:dyDescent="0.25">
      <c r="B34" s="6"/>
      <c r="C34" s="6"/>
      <c r="D34" s="6"/>
      <c r="E34" s="6"/>
      <c r="F34" s="6"/>
    </row>
    <row r="35" spans="2:6" ht="22.05" customHeight="1" x14ac:dyDescent="0.25">
      <c r="B35" s="6"/>
      <c r="C35" s="6"/>
      <c r="D35" s="6"/>
      <c r="E35" s="6"/>
      <c r="F35" s="6"/>
    </row>
    <row r="36" spans="2:6" ht="22.05" customHeight="1" x14ac:dyDescent="0.25">
      <c r="B36" s="6"/>
      <c r="C36" s="6"/>
      <c r="D36" s="6"/>
      <c r="E36" s="6"/>
      <c r="F36" s="6"/>
    </row>
    <row r="37" spans="2:6" ht="22.05" customHeight="1" x14ac:dyDescent="0.25">
      <c r="B37" s="6"/>
      <c r="C37" s="6"/>
      <c r="D37" s="6"/>
      <c r="E37" s="6"/>
      <c r="F37" s="6"/>
    </row>
    <row r="38" spans="2:6" ht="22.05" customHeight="1" x14ac:dyDescent="0.25">
      <c r="B38" s="6"/>
      <c r="C38" s="6"/>
      <c r="D38" s="6"/>
      <c r="E38" s="6"/>
      <c r="F38" s="6"/>
    </row>
    <row r="39" spans="2:6" ht="22.05" customHeight="1" x14ac:dyDescent="0.25">
      <c r="B39" s="6"/>
      <c r="C39" s="6"/>
      <c r="D39" s="6"/>
      <c r="E39" s="6"/>
      <c r="F39" s="6"/>
    </row>
    <row r="40" spans="2:6" ht="22.05" customHeight="1" x14ac:dyDescent="0.25">
      <c r="B40" s="6"/>
      <c r="C40" s="6"/>
      <c r="D40" s="6"/>
      <c r="E40" s="6"/>
      <c r="F40" s="6"/>
    </row>
    <row r="41" spans="2:6" ht="22.05" customHeight="1" x14ac:dyDescent="0.25">
      <c r="B41" s="3" t="s">
        <v>76</v>
      </c>
      <c r="C41" s="6"/>
      <c r="D41" s="6"/>
      <c r="E41" s="6"/>
      <c r="F41" s="5"/>
    </row>
    <row r="42" spans="2:6" ht="22.05" customHeight="1" x14ac:dyDescent="0.25"/>
    <row r="43" spans="2:6" ht="22.05" customHeight="1" x14ac:dyDescent="0.25"/>
    <row r="44" spans="2:6" ht="22.05" customHeight="1" x14ac:dyDescent="0.25"/>
    <row r="45" spans="2:6" ht="22.05" customHeight="1" x14ac:dyDescent="0.25"/>
    <row r="46" spans="2:6" ht="22.05" customHeight="1" x14ac:dyDescent="0.25"/>
    <row r="47" spans="2:6" ht="22.05" customHeight="1" x14ac:dyDescent="0.25"/>
  </sheetData>
  <mergeCells count="3">
    <mergeCell ref="B2:F2"/>
    <mergeCell ref="B14:F14"/>
    <mergeCell ref="B25:F25"/>
  </mergeCells>
  <phoneticPr fontId="2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质控数据</vt:lpstr>
      <vt:lpstr>签收率T-1</vt:lpstr>
      <vt:lpstr>出仓率T-1</vt:lpstr>
      <vt:lpstr>进港投诉T-2</vt:lpstr>
      <vt:lpstr>送货上门签收T-2</vt:lpstr>
      <vt:lpstr>客户声音T-2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凯 孟</cp:lastModifiedBy>
  <dcterms:created xsi:type="dcterms:W3CDTF">2025-03-10T17:02:00Z</dcterms:created>
  <dcterms:modified xsi:type="dcterms:W3CDTF">2026-01-29T02:06:23Z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56590D36A83F4A30975E81FAD8E72B56_13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